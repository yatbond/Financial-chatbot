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X:\CC\Project\1130 DC202311\Financial Report\2025-12\"/>
    </mc:Choice>
  </mc:AlternateContent>
  <xr:revisionPtr revIDLastSave="0" documentId="13_ncr:1_{1F31FF32-E349-465A-A030-C28410F5B1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ncial Status" sheetId="1" r:id="rId1"/>
    <sheet name="Projection" sheetId="2" r:id="rId2"/>
    <sheet name="Committed Cost" sheetId="3" r:id="rId3"/>
    <sheet name="Accrual" sheetId="4" r:id="rId4"/>
    <sheet name="Cash Flow" sheetId="5" r:id="rId5"/>
  </sheets>
  <definedNames>
    <definedName name="_xlnm.Print_Titles" localSheetId="3">Accrual!$1:$12</definedName>
    <definedName name="_xlnm.Print_Titles" localSheetId="4">'Cash Flow'!$1:$12</definedName>
    <definedName name="_xlnm.Print_Titles" localSheetId="2">'Committed Cost'!$1:$12</definedName>
    <definedName name="_xlnm.Print_Titles" localSheetId="0">'Financial Status'!$1:$15</definedName>
    <definedName name="_xlnm.Print_Titles" localSheetId="1">Projection!$1:$12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3" i="4" l="1"/>
  <c r="L83" i="5"/>
  <c r="K83" i="5"/>
  <c r="J126" i="5" l="1"/>
  <c r="E126" i="5"/>
  <c r="H125" i="5"/>
  <c r="E125" i="5"/>
  <c r="O119" i="5"/>
  <c r="N119" i="5"/>
  <c r="M119" i="5"/>
  <c r="L116" i="5"/>
  <c r="K116" i="5"/>
  <c r="J116" i="5"/>
  <c r="I116" i="5"/>
  <c r="H116" i="5"/>
  <c r="G116" i="5"/>
  <c r="F116" i="5"/>
  <c r="E116" i="5"/>
  <c r="D116" i="5"/>
  <c r="C116" i="5"/>
  <c r="L114" i="5"/>
  <c r="K114" i="5"/>
  <c r="J114" i="5"/>
  <c r="I114" i="5"/>
  <c r="H114" i="5"/>
  <c r="G114" i="5"/>
  <c r="F114" i="5"/>
  <c r="E114" i="5"/>
  <c r="D114" i="5"/>
  <c r="C114" i="5"/>
  <c r="C119" i="5" s="1"/>
  <c r="I109" i="5"/>
  <c r="D109" i="5"/>
  <c r="O107" i="5"/>
  <c r="N107" i="5"/>
  <c r="M107" i="5"/>
  <c r="L107" i="5"/>
  <c r="L109" i="5" s="1"/>
  <c r="K107" i="5"/>
  <c r="J107" i="5"/>
  <c r="I107" i="5"/>
  <c r="H107" i="5"/>
  <c r="G107" i="5"/>
  <c r="F107" i="5"/>
  <c r="E107" i="5"/>
  <c r="D107" i="5"/>
  <c r="C107" i="5"/>
  <c r="P106" i="5"/>
  <c r="P105" i="5"/>
  <c r="P104" i="5"/>
  <c r="P103" i="5"/>
  <c r="P102" i="5"/>
  <c r="P101" i="5"/>
  <c r="P99" i="5"/>
  <c r="P98" i="5"/>
  <c r="P97" i="5"/>
  <c r="P96" i="5"/>
  <c r="P95" i="5"/>
  <c r="P94" i="5"/>
  <c r="P92" i="5"/>
  <c r="P91" i="5"/>
  <c r="P90" i="5"/>
  <c r="P89" i="5"/>
  <c r="P88" i="5"/>
  <c r="P87" i="5"/>
  <c r="P86" i="5"/>
  <c r="P85" i="5"/>
  <c r="P84" i="5"/>
  <c r="P83" i="5"/>
  <c r="P81" i="5"/>
  <c r="P80" i="5"/>
  <c r="P79" i="5"/>
  <c r="P116" i="5" s="1"/>
  <c r="P78" i="5"/>
  <c r="P77" i="5"/>
  <c r="P76" i="5"/>
  <c r="P75" i="5"/>
  <c r="P74" i="5"/>
  <c r="P73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2" i="5"/>
  <c r="P51" i="5"/>
  <c r="P50" i="5"/>
  <c r="P49" i="5"/>
  <c r="P48" i="5"/>
  <c r="P47" i="5"/>
  <c r="P46" i="5"/>
  <c r="P114" i="5" s="1"/>
  <c r="P45" i="5"/>
  <c r="P44" i="5"/>
  <c r="P43" i="5"/>
  <c r="P42" i="5"/>
  <c r="P41" i="5"/>
  <c r="P40" i="5"/>
  <c r="O36" i="5"/>
  <c r="N36" i="5"/>
  <c r="M36" i="5"/>
  <c r="L36" i="5"/>
  <c r="L125" i="5" s="1"/>
  <c r="K36" i="5"/>
  <c r="K125" i="5" s="1"/>
  <c r="J36" i="5"/>
  <c r="J125" i="5" s="1"/>
  <c r="I36" i="5"/>
  <c r="I126" i="5" s="1"/>
  <c r="H36" i="5"/>
  <c r="H109" i="5" s="1"/>
  <c r="G36" i="5"/>
  <c r="G109" i="5" s="1"/>
  <c r="F36" i="5"/>
  <c r="F109" i="5" s="1"/>
  <c r="E36" i="5"/>
  <c r="E109" i="5" s="1"/>
  <c r="D36" i="5"/>
  <c r="D125" i="5" s="1"/>
  <c r="C36" i="5"/>
  <c r="C125" i="5" s="1"/>
  <c r="P35" i="5"/>
  <c r="P34" i="5"/>
  <c r="P33" i="5"/>
  <c r="P32" i="5"/>
  <c r="P31" i="5"/>
  <c r="P30" i="5"/>
  <c r="P29" i="5"/>
  <c r="P28" i="5"/>
  <c r="P26" i="5"/>
  <c r="P25" i="5"/>
  <c r="P24" i="5"/>
  <c r="P23" i="5"/>
  <c r="P22" i="5"/>
  <c r="P21" i="5"/>
  <c r="P20" i="5"/>
  <c r="P19" i="5"/>
  <c r="P18" i="5"/>
  <c r="P17" i="5"/>
  <c r="P16" i="5"/>
  <c r="P14" i="5"/>
  <c r="P36" i="5" s="1"/>
  <c r="C8" i="5"/>
  <c r="C7" i="5"/>
  <c r="J126" i="4"/>
  <c r="L125" i="4"/>
  <c r="E125" i="4"/>
  <c r="D125" i="4"/>
  <c r="O119" i="4"/>
  <c r="N119" i="4"/>
  <c r="M119" i="4"/>
  <c r="K119" i="4"/>
  <c r="F119" i="4"/>
  <c r="C119" i="4"/>
  <c r="P118" i="4"/>
  <c r="L116" i="4"/>
  <c r="K116" i="4"/>
  <c r="J116" i="4"/>
  <c r="I116" i="4"/>
  <c r="H116" i="4"/>
  <c r="G116" i="4"/>
  <c r="F116" i="4"/>
  <c r="E116" i="4"/>
  <c r="D116" i="4"/>
  <c r="C116" i="4"/>
  <c r="P114" i="4"/>
  <c r="P119" i="4" s="1"/>
  <c r="L114" i="4"/>
  <c r="L119" i="4" s="1"/>
  <c r="K114" i="4"/>
  <c r="J114" i="4"/>
  <c r="J119" i="4" s="1"/>
  <c r="I114" i="4"/>
  <c r="I119" i="4" s="1"/>
  <c r="H114" i="4"/>
  <c r="H119" i="4" s="1"/>
  <c r="H121" i="4" s="1"/>
  <c r="G114" i="4"/>
  <c r="G119" i="4" s="1"/>
  <c r="G121" i="4" s="1"/>
  <c r="F114" i="4"/>
  <c r="E114" i="4"/>
  <c r="E119" i="4" s="1"/>
  <c r="D114" i="4"/>
  <c r="D119" i="4" s="1"/>
  <c r="C114" i="4"/>
  <c r="H109" i="4"/>
  <c r="G109" i="4"/>
  <c r="O107" i="4"/>
  <c r="N107" i="4"/>
  <c r="M107" i="4"/>
  <c r="L107" i="4"/>
  <c r="K107" i="4"/>
  <c r="J107" i="4"/>
  <c r="I107" i="4"/>
  <c r="H107" i="4"/>
  <c r="G107" i="4"/>
  <c r="F107" i="4"/>
  <c r="E107" i="4"/>
  <c r="E109" i="4" s="1"/>
  <c r="D107" i="4"/>
  <c r="C107" i="4"/>
  <c r="P106" i="4"/>
  <c r="P105" i="4"/>
  <c r="P104" i="4"/>
  <c r="P103" i="4"/>
  <c r="P102" i="4"/>
  <c r="N105" i="1" s="1"/>
  <c r="P101" i="4"/>
  <c r="N104" i="1" s="1"/>
  <c r="P99" i="4"/>
  <c r="P98" i="4"/>
  <c r="P97" i="4"/>
  <c r="P96" i="4"/>
  <c r="P95" i="4"/>
  <c r="P94" i="4"/>
  <c r="P92" i="4"/>
  <c r="N95" i="1" s="1"/>
  <c r="P91" i="4"/>
  <c r="P90" i="4"/>
  <c r="P89" i="4"/>
  <c r="P88" i="4"/>
  <c r="P87" i="4"/>
  <c r="P86" i="4"/>
  <c r="P85" i="4"/>
  <c r="P84" i="4"/>
  <c r="P83" i="4"/>
  <c r="N86" i="1" s="1"/>
  <c r="P81" i="4"/>
  <c r="P80" i="4"/>
  <c r="P79" i="4"/>
  <c r="P116" i="4" s="1"/>
  <c r="P78" i="4"/>
  <c r="P77" i="4"/>
  <c r="P76" i="4"/>
  <c r="P75" i="4"/>
  <c r="N78" i="1" s="1"/>
  <c r="P74" i="4"/>
  <c r="P73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N61" i="1" s="1"/>
  <c r="P57" i="4"/>
  <c r="P56" i="4"/>
  <c r="P55" i="4"/>
  <c r="P54" i="4"/>
  <c r="P52" i="4"/>
  <c r="P51" i="4"/>
  <c r="P50" i="4"/>
  <c r="P49" i="4"/>
  <c r="N52" i="1" s="1"/>
  <c r="P48" i="4"/>
  <c r="P47" i="4"/>
  <c r="P46" i="4"/>
  <c r="P45" i="4"/>
  <c r="P44" i="4"/>
  <c r="P43" i="4"/>
  <c r="P42" i="4"/>
  <c r="P41" i="4"/>
  <c r="N44" i="1" s="1"/>
  <c r="P40" i="4"/>
  <c r="O36" i="4"/>
  <c r="N36" i="4"/>
  <c r="M36" i="4"/>
  <c r="L36" i="4"/>
  <c r="K36" i="4"/>
  <c r="J36" i="4"/>
  <c r="I36" i="4"/>
  <c r="H36" i="4"/>
  <c r="H125" i="4" s="1"/>
  <c r="G36" i="4"/>
  <c r="G125" i="4" s="1"/>
  <c r="F36" i="4"/>
  <c r="F126" i="4" s="1"/>
  <c r="E36" i="4"/>
  <c r="E126" i="4" s="1"/>
  <c r="D36" i="4"/>
  <c r="D109" i="4" s="1"/>
  <c r="D121" i="4" s="1"/>
  <c r="C36" i="4"/>
  <c r="C109" i="4" s="1"/>
  <c r="C121" i="4" s="1"/>
  <c r="P35" i="4"/>
  <c r="N38" i="1" s="1"/>
  <c r="P34" i="4"/>
  <c r="N37" i="1" s="1"/>
  <c r="P33" i="4"/>
  <c r="P32" i="4"/>
  <c r="P31" i="4"/>
  <c r="P30" i="4"/>
  <c r="P29" i="4"/>
  <c r="P28" i="4"/>
  <c r="P26" i="4"/>
  <c r="N29" i="1" s="1"/>
  <c r="P25" i="4"/>
  <c r="N28" i="1" s="1"/>
  <c r="P24" i="4"/>
  <c r="P23" i="4"/>
  <c r="P22" i="4"/>
  <c r="P21" i="4"/>
  <c r="P20" i="4"/>
  <c r="P19" i="4"/>
  <c r="P18" i="4"/>
  <c r="N21" i="1" s="1"/>
  <c r="P17" i="4"/>
  <c r="P16" i="4"/>
  <c r="P14" i="4"/>
  <c r="C8" i="4"/>
  <c r="C7" i="4"/>
  <c r="L125" i="3"/>
  <c r="H125" i="3"/>
  <c r="D125" i="3"/>
  <c r="H121" i="3"/>
  <c r="H129" i="3" s="1"/>
  <c r="G121" i="3"/>
  <c r="O119" i="3"/>
  <c r="N119" i="3"/>
  <c r="M119" i="3"/>
  <c r="I119" i="3"/>
  <c r="G119" i="3"/>
  <c r="F119" i="3"/>
  <c r="P118" i="3"/>
  <c r="L116" i="3"/>
  <c r="K116" i="3"/>
  <c r="J116" i="3"/>
  <c r="J119" i="3" s="1"/>
  <c r="I116" i="3"/>
  <c r="H116" i="3"/>
  <c r="G116" i="3"/>
  <c r="F116" i="3"/>
  <c r="E116" i="3"/>
  <c r="D116" i="3"/>
  <c r="C116" i="3"/>
  <c r="P114" i="3"/>
  <c r="L114" i="3"/>
  <c r="L119" i="3" s="1"/>
  <c r="K114" i="3"/>
  <c r="K119" i="3" s="1"/>
  <c r="K121" i="3" s="1"/>
  <c r="J114" i="3"/>
  <c r="I114" i="3"/>
  <c r="H114" i="3"/>
  <c r="H119" i="3" s="1"/>
  <c r="G114" i="3"/>
  <c r="F114" i="3"/>
  <c r="E114" i="3"/>
  <c r="E119" i="3" s="1"/>
  <c r="D114" i="3"/>
  <c r="D119" i="3" s="1"/>
  <c r="D121" i="3" s="1"/>
  <c r="D129" i="3" s="1"/>
  <c r="C114" i="3"/>
  <c r="C119" i="3" s="1"/>
  <c r="L109" i="3"/>
  <c r="K109" i="3"/>
  <c r="H109" i="3"/>
  <c r="G109" i="3"/>
  <c r="D109" i="3"/>
  <c r="C109" i="3"/>
  <c r="C121" i="3" s="1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P106" i="3"/>
  <c r="P105" i="3"/>
  <c r="K108" i="1" s="1"/>
  <c r="P104" i="3"/>
  <c r="P103" i="3"/>
  <c r="P102" i="3"/>
  <c r="P101" i="3"/>
  <c r="K104" i="1" s="1"/>
  <c r="P99" i="3"/>
  <c r="P98" i="3"/>
  <c r="P97" i="3"/>
  <c r="P96" i="3"/>
  <c r="P95" i="3"/>
  <c r="P94" i="3"/>
  <c r="P92" i="3"/>
  <c r="K95" i="1" s="1"/>
  <c r="P91" i="3"/>
  <c r="P90" i="3"/>
  <c r="P89" i="3"/>
  <c r="P88" i="3"/>
  <c r="K91" i="1" s="1"/>
  <c r="P87" i="3"/>
  <c r="P86" i="3"/>
  <c r="P85" i="3"/>
  <c r="P84" i="3"/>
  <c r="K87" i="1" s="1"/>
  <c r="P83" i="3"/>
  <c r="P81" i="3"/>
  <c r="P80" i="3"/>
  <c r="P79" i="3"/>
  <c r="P116" i="3" s="1"/>
  <c r="K119" i="1" s="1"/>
  <c r="Q119" i="1" s="1"/>
  <c r="P78" i="3"/>
  <c r="P77" i="3"/>
  <c r="P76" i="3"/>
  <c r="P75" i="3"/>
  <c r="P74" i="3"/>
  <c r="P73" i="3"/>
  <c r="P71" i="3"/>
  <c r="P70" i="3"/>
  <c r="P69" i="3"/>
  <c r="K72" i="1" s="1"/>
  <c r="P68" i="3"/>
  <c r="P67" i="3"/>
  <c r="P66" i="3"/>
  <c r="P65" i="3"/>
  <c r="K68" i="1" s="1"/>
  <c r="P64" i="3"/>
  <c r="P63" i="3"/>
  <c r="P62" i="3"/>
  <c r="P61" i="3"/>
  <c r="P60" i="3"/>
  <c r="P59" i="3"/>
  <c r="P58" i="3"/>
  <c r="P57" i="3"/>
  <c r="P56" i="3"/>
  <c r="P55" i="3"/>
  <c r="P54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O36" i="3"/>
  <c r="N36" i="3"/>
  <c r="M36" i="3"/>
  <c r="L36" i="3"/>
  <c r="L126" i="3" s="1"/>
  <c r="K36" i="3"/>
  <c r="K125" i="3" s="1"/>
  <c r="J36" i="3"/>
  <c r="I36" i="3"/>
  <c r="I109" i="3" s="1"/>
  <c r="H36" i="3"/>
  <c r="H126" i="3" s="1"/>
  <c r="G36" i="3"/>
  <c r="G126" i="3" s="1"/>
  <c r="F36" i="3"/>
  <c r="F126" i="3" s="1"/>
  <c r="E36" i="3"/>
  <c r="E109" i="3" s="1"/>
  <c r="D36" i="3"/>
  <c r="D126" i="3" s="1"/>
  <c r="C36" i="3"/>
  <c r="C125" i="3" s="1"/>
  <c r="P35" i="3"/>
  <c r="K38" i="1" s="1"/>
  <c r="P34" i="3"/>
  <c r="P33" i="3"/>
  <c r="P32" i="3"/>
  <c r="P31" i="3"/>
  <c r="P30" i="3"/>
  <c r="P29" i="3"/>
  <c r="P28" i="3"/>
  <c r="P26" i="3"/>
  <c r="K29" i="1" s="1"/>
  <c r="P25" i="3"/>
  <c r="P24" i="3"/>
  <c r="P23" i="3"/>
  <c r="P22" i="3"/>
  <c r="P21" i="3"/>
  <c r="P20" i="3"/>
  <c r="P19" i="3"/>
  <c r="P18" i="3"/>
  <c r="K21" i="1" s="1"/>
  <c r="M21" i="1" s="1"/>
  <c r="P17" i="3"/>
  <c r="P16" i="3"/>
  <c r="P14" i="3"/>
  <c r="C8" i="3"/>
  <c r="C7" i="3"/>
  <c r="J126" i="2"/>
  <c r="I126" i="2"/>
  <c r="L125" i="2"/>
  <c r="I125" i="2"/>
  <c r="H125" i="2"/>
  <c r="D125" i="2"/>
  <c r="K121" i="2"/>
  <c r="H121" i="2"/>
  <c r="H129" i="2" s="1"/>
  <c r="O119" i="2"/>
  <c r="N119" i="2"/>
  <c r="M119" i="2"/>
  <c r="K119" i="2"/>
  <c r="J119" i="2"/>
  <c r="C119" i="2"/>
  <c r="P118" i="2"/>
  <c r="J121" i="1" s="1"/>
  <c r="L116" i="2"/>
  <c r="K116" i="2"/>
  <c r="J116" i="2"/>
  <c r="I116" i="2"/>
  <c r="H116" i="2"/>
  <c r="G116" i="2"/>
  <c r="F116" i="2"/>
  <c r="F119" i="2" s="1"/>
  <c r="E116" i="2"/>
  <c r="D116" i="2"/>
  <c r="C116" i="2"/>
  <c r="P114" i="2"/>
  <c r="L114" i="2"/>
  <c r="L119" i="2" s="1"/>
  <c r="K114" i="2"/>
  <c r="J114" i="2"/>
  <c r="I114" i="2"/>
  <c r="I119" i="2" s="1"/>
  <c r="H114" i="2"/>
  <c r="H119" i="2" s="1"/>
  <c r="G114" i="2"/>
  <c r="G119" i="2" s="1"/>
  <c r="F114" i="2"/>
  <c r="E114" i="2"/>
  <c r="E119" i="2" s="1"/>
  <c r="D114" i="2"/>
  <c r="D119" i="2" s="1"/>
  <c r="C114" i="2"/>
  <c r="L109" i="2"/>
  <c r="L121" i="2" s="1"/>
  <c r="L129" i="2" s="1"/>
  <c r="K109" i="2"/>
  <c r="H109" i="2"/>
  <c r="G109" i="2"/>
  <c r="G121" i="2" s="1"/>
  <c r="D109" i="2"/>
  <c r="D121" i="2" s="1"/>
  <c r="C109" i="2"/>
  <c r="C121" i="2" s="1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P106" i="2"/>
  <c r="J109" i="1" s="1"/>
  <c r="I109" i="1" s="1"/>
  <c r="P105" i="2"/>
  <c r="J108" i="1" s="1"/>
  <c r="P104" i="2"/>
  <c r="P103" i="2"/>
  <c r="P102" i="2"/>
  <c r="P101" i="2"/>
  <c r="P99" i="2"/>
  <c r="P98" i="2"/>
  <c r="P97" i="2"/>
  <c r="J100" i="1" s="1"/>
  <c r="I100" i="1" s="1"/>
  <c r="P96" i="2"/>
  <c r="J99" i="1" s="1"/>
  <c r="I99" i="1" s="1"/>
  <c r="P95" i="2"/>
  <c r="P94" i="2"/>
  <c r="P92" i="2"/>
  <c r="P91" i="2"/>
  <c r="P90" i="2"/>
  <c r="P89" i="2"/>
  <c r="P88" i="2"/>
  <c r="J91" i="1" s="1"/>
  <c r="I91" i="1" s="1"/>
  <c r="P87" i="2"/>
  <c r="J90" i="1" s="1"/>
  <c r="I90" i="1" s="1"/>
  <c r="P86" i="2"/>
  <c r="P85" i="2"/>
  <c r="P84" i="2"/>
  <c r="P83" i="2"/>
  <c r="P81" i="2"/>
  <c r="P80" i="2"/>
  <c r="P79" i="2"/>
  <c r="P78" i="2"/>
  <c r="J81" i="1" s="1"/>
  <c r="P77" i="2"/>
  <c r="P76" i="2"/>
  <c r="P75" i="2"/>
  <c r="P74" i="2"/>
  <c r="J77" i="1" s="1"/>
  <c r="P73" i="2"/>
  <c r="P71" i="2"/>
  <c r="P70" i="2"/>
  <c r="P69" i="2"/>
  <c r="P68" i="2"/>
  <c r="P67" i="2"/>
  <c r="P66" i="2"/>
  <c r="P65" i="2"/>
  <c r="P64" i="2"/>
  <c r="P63" i="2"/>
  <c r="P62" i="2"/>
  <c r="J65" i="1" s="1"/>
  <c r="I65" i="1" s="1"/>
  <c r="P61" i="2"/>
  <c r="P60" i="2"/>
  <c r="P59" i="2"/>
  <c r="P58" i="2"/>
  <c r="P57" i="2"/>
  <c r="P56" i="2"/>
  <c r="P55" i="2"/>
  <c r="P54" i="2"/>
  <c r="P52" i="2"/>
  <c r="J55" i="1" s="1"/>
  <c r="I55" i="1" s="1"/>
  <c r="P51" i="2"/>
  <c r="P50" i="2"/>
  <c r="P49" i="2"/>
  <c r="P48" i="2"/>
  <c r="P47" i="2"/>
  <c r="P46" i="2"/>
  <c r="P45" i="2"/>
  <c r="J48" i="1" s="1"/>
  <c r="P44" i="2"/>
  <c r="J47" i="1" s="1"/>
  <c r="I47" i="1" s="1"/>
  <c r="P43" i="2"/>
  <c r="P42" i="2"/>
  <c r="P41" i="2"/>
  <c r="P40" i="2"/>
  <c r="O36" i="2"/>
  <c r="N36" i="2"/>
  <c r="M36" i="2"/>
  <c r="L36" i="2"/>
  <c r="L126" i="2" s="1"/>
  <c r="K36" i="2"/>
  <c r="K126" i="2" s="1"/>
  <c r="J36" i="2"/>
  <c r="I36" i="2"/>
  <c r="H36" i="2"/>
  <c r="H126" i="2" s="1"/>
  <c r="G36" i="2"/>
  <c r="G125" i="2" s="1"/>
  <c r="F36" i="2"/>
  <c r="E36" i="2"/>
  <c r="E126" i="2" s="1"/>
  <c r="D36" i="2"/>
  <c r="D126" i="2" s="1"/>
  <c r="C36" i="2"/>
  <c r="C126" i="2" s="1"/>
  <c r="P35" i="2"/>
  <c r="P34" i="2"/>
  <c r="P33" i="2"/>
  <c r="P32" i="2"/>
  <c r="P31" i="2"/>
  <c r="P30" i="2"/>
  <c r="J33" i="1" s="1"/>
  <c r="I33" i="1" s="1"/>
  <c r="P29" i="2"/>
  <c r="P28" i="2"/>
  <c r="P26" i="2"/>
  <c r="P25" i="2"/>
  <c r="P24" i="2"/>
  <c r="P23" i="2"/>
  <c r="P22" i="2"/>
  <c r="P21" i="2"/>
  <c r="J24" i="1" s="1"/>
  <c r="P20" i="2"/>
  <c r="P19" i="2"/>
  <c r="P18" i="2"/>
  <c r="P17" i="2"/>
  <c r="P16" i="2"/>
  <c r="P14" i="2"/>
  <c r="C8" i="2"/>
  <c r="C7" i="2"/>
  <c r="O133" i="1"/>
  <c r="P133" i="1" s="1"/>
  <c r="N133" i="1"/>
  <c r="M133" i="1"/>
  <c r="L133" i="1"/>
  <c r="K133" i="1"/>
  <c r="Q133" i="1" s="1"/>
  <c r="J133" i="1"/>
  <c r="I133" i="1"/>
  <c r="I132" i="1"/>
  <c r="Q131" i="1"/>
  <c r="O131" i="1"/>
  <c r="P131" i="1" s="1"/>
  <c r="N131" i="1"/>
  <c r="M131" i="1"/>
  <c r="L131" i="1"/>
  <c r="K131" i="1"/>
  <c r="J131" i="1"/>
  <c r="I131" i="1"/>
  <c r="O130" i="1"/>
  <c r="P130" i="1" s="1"/>
  <c r="N130" i="1"/>
  <c r="M130" i="1"/>
  <c r="L130" i="1"/>
  <c r="K130" i="1"/>
  <c r="Q130" i="1" s="1"/>
  <c r="J130" i="1"/>
  <c r="I130" i="1"/>
  <c r="I129" i="1"/>
  <c r="I128" i="1"/>
  <c r="O127" i="1"/>
  <c r="P127" i="1" s="1"/>
  <c r="N127" i="1"/>
  <c r="L127" i="1"/>
  <c r="K127" i="1"/>
  <c r="J127" i="1"/>
  <c r="I127" i="1"/>
  <c r="Q126" i="1"/>
  <c r="P126" i="1"/>
  <c r="O126" i="1"/>
  <c r="N126" i="1"/>
  <c r="M126" i="1"/>
  <c r="L126" i="1"/>
  <c r="K126" i="1"/>
  <c r="J126" i="1"/>
  <c r="I126" i="1"/>
  <c r="Q125" i="1"/>
  <c r="O125" i="1"/>
  <c r="P125" i="1" s="1"/>
  <c r="N125" i="1"/>
  <c r="M125" i="1"/>
  <c r="L125" i="1"/>
  <c r="K125" i="1"/>
  <c r="J125" i="1"/>
  <c r="I125" i="1"/>
  <c r="I124" i="1"/>
  <c r="Q123" i="1"/>
  <c r="P123" i="1"/>
  <c r="O123" i="1"/>
  <c r="N123" i="1"/>
  <c r="M123" i="1"/>
  <c r="L123" i="1"/>
  <c r="K123" i="1"/>
  <c r="J123" i="1"/>
  <c r="I123" i="1"/>
  <c r="N122" i="1"/>
  <c r="I122" i="1"/>
  <c r="E122" i="1"/>
  <c r="D122" i="1"/>
  <c r="C122" i="1"/>
  <c r="N121" i="1"/>
  <c r="L121" i="1"/>
  <c r="K121" i="1"/>
  <c r="I121" i="1"/>
  <c r="F121" i="1"/>
  <c r="Q120" i="1"/>
  <c r="O120" i="1"/>
  <c r="P120" i="1" s="1"/>
  <c r="N120" i="1"/>
  <c r="M120" i="1"/>
  <c r="L120" i="1"/>
  <c r="K120" i="1"/>
  <c r="J120" i="1"/>
  <c r="I120" i="1"/>
  <c r="O119" i="1"/>
  <c r="N119" i="1"/>
  <c r="M119" i="1"/>
  <c r="L119" i="1"/>
  <c r="I119" i="1"/>
  <c r="G119" i="1"/>
  <c r="G122" i="1" s="1"/>
  <c r="Q118" i="1"/>
  <c r="P118" i="1"/>
  <c r="O118" i="1"/>
  <c r="N118" i="1"/>
  <c r="M118" i="1"/>
  <c r="L118" i="1"/>
  <c r="K118" i="1"/>
  <c r="J118" i="1"/>
  <c r="I118" i="1"/>
  <c r="N117" i="1"/>
  <c r="M117" i="1"/>
  <c r="L117" i="1"/>
  <c r="J117" i="1"/>
  <c r="I117" i="1"/>
  <c r="G117" i="1"/>
  <c r="P116" i="1"/>
  <c r="O116" i="1"/>
  <c r="N116" i="1"/>
  <c r="M116" i="1"/>
  <c r="L116" i="1"/>
  <c r="K116" i="1"/>
  <c r="Q116" i="1" s="1"/>
  <c r="J116" i="1"/>
  <c r="I116" i="1"/>
  <c r="Q115" i="1"/>
  <c r="P115" i="1"/>
  <c r="O115" i="1"/>
  <c r="N115" i="1"/>
  <c r="M115" i="1"/>
  <c r="L115" i="1"/>
  <c r="K115" i="1"/>
  <c r="J115" i="1"/>
  <c r="I115" i="1"/>
  <c r="Q114" i="1"/>
  <c r="O114" i="1"/>
  <c r="P114" i="1" s="1"/>
  <c r="N114" i="1"/>
  <c r="M114" i="1"/>
  <c r="L114" i="1"/>
  <c r="K114" i="1"/>
  <c r="J114" i="1"/>
  <c r="I114" i="1"/>
  <c r="O113" i="1"/>
  <c r="P113" i="1" s="1"/>
  <c r="N113" i="1"/>
  <c r="M113" i="1"/>
  <c r="L113" i="1"/>
  <c r="K113" i="1"/>
  <c r="Q113" i="1" s="1"/>
  <c r="J113" i="1"/>
  <c r="I113" i="1"/>
  <c r="H112" i="1"/>
  <c r="O111" i="1"/>
  <c r="P111" i="1" s="1"/>
  <c r="N111" i="1"/>
  <c r="M111" i="1"/>
  <c r="L111" i="1"/>
  <c r="K111" i="1"/>
  <c r="Q111" i="1" s="1"/>
  <c r="J111" i="1"/>
  <c r="I111" i="1"/>
  <c r="H110" i="1"/>
  <c r="G110" i="1"/>
  <c r="E110" i="1"/>
  <c r="D110" i="1"/>
  <c r="D112" i="1" s="1"/>
  <c r="D124" i="1" s="1"/>
  <c r="C110" i="1"/>
  <c r="O109" i="1"/>
  <c r="P109" i="1" s="1"/>
  <c r="N109" i="1"/>
  <c r="K109" i="1"/>
  <c r="F109" i="1"/>
  <c r="M109" i="1" s="1"/>
  <c r="Q108" i="1"/>
  <c r="P108" i="1"/>
  <c r="O108" i="1"/>
  <c r="N108" i="1"/>
  <c r="I108" i="1"/>
  <c r="F108" i="1"/>
  <c r="O107" i="1"/>
  <c r="N107" i="1"/>
  <c r="K107" i="1"/>
  <c r="J107" i="1"/>
  <c r="I107" i="1" s="1"/>
  <c r="F107" i="1"/>
  <c r="Q106" i="1"/>
  <c r="P106" i="1"/>
  <c r="O106" i="1"/>
  <c r="N106" i="1"/>
  <c r="K106" i="1"/>
  <c r="J106" i="1"/>
  <c r="I106" i="1"/>
  <c r="F106" i="1"/>
  <c r="O105" i="1"/>
  <c r="P105" i="1" s="1"/>
  <c r="K105" i="1"/>
  <c r="J105" i="1"/>
  <c r="I105" i="1" s="1"/>
  <c r="F105" i="1"/>
  <c r="Q104" i="1"/>
  <c r="P104" i="1"/>
  <c r="O104" i="1"/>
  <c r="M104" i="1"/>
  <c r="J104" i="1"/>
  <c r="I104" i="1" s="1"/>
  <c r="F104" i="1"/>
  <c r="L104" i="1" s="1"/>
  <c r="O103" i="1"/>
  <c r="P103" i="1" s="1"/>
  <c r="N103" i="1"/>
  <c r="M103" i="1"/>
  <c r="L103" i="1"/>
  <c r="K103" i="1"/>
  <c r="Q103" i="1" s="1"/>
  <c r="J103" i="1"/>
  <c r="I103" i="1"/>
  <c r="O102" i="1"/>
  <c r="P102" i="1" s="1"/>
  <c r="N102" i="1"/>
  <c r="L102" i="1"/>
  <c r="K102" i="1"/>
  <c r="J102" i="1"/>
  <c r="I102" i="1" s="1"/>
  <c r="F102" i="1"/>
  <c r="M102" i="1" s="1"/>
  <c r="O101" i="1"/>
  <c r="N101" i="1"/>
  <c r="M101" i="1"/>
  <c r="K101" i="1"/>
  <c r="J101" i="1"/>
  <c r="I101" i="1"/>
  <c r="F101" i="1"/>
  <c r="L101" i="1" s="1"/>
  <c r="P100" i="1"/>
  <c r="O100" i="1"/>
  <c r="Q100" i="1" s="1"/>
  <c r="N100" i="1"/>
  <c r="L100" i="1"/>
  <c r="K100" i="1"/>
  <c r="F100" i="1"/>
  <c r="M100" i="1" s="1"/>
  <c r="O99" i="1"/>
  <c r="P99" i="1" s="1"/>
  <c r="N99" i="1"/>
  <c r="K99" i="1"/>
  <c r="L99" i="1" s="1"/>
  <c r="F99" i="1"/>
  <c r="O98" i="1"/>
  <c r="P98" i="1" s="1"/>
  <c r="N98" i="1"/>
  <c r="L98" i="1"/>
  <c r="K98" i="1"/>
  <c r="J98" i="1"/>
  <c r="I98" i="1" s="1"/>
  <c r="F98" i="1"/>
  <c r="M98" i="1" s="1"/>
  <c r="O97" i="1"/>
  <c r="N97" i="1"/>
  <c r="M97" i="1"/>
  <c r="K97" i="1"/>
  <c r="J97" i="1"/>
  <c r="I97" i="1"/>
  <c r="F97" i="1"/>
  <c r="L97" i="1" s="1"/>
  <c r="P96" i="1"/>
  <c r="O96" i="1"/>
  <c r="N96" i="1"/>
  <c r="M96" i="1"/>
  <c r="L96" i="1"/>
  <c r="K96" i="1"/>
  <c r="Q96" i="1" s="1"/>
  <c r="J96" i="1"/>
  <c r="I96" i="1"/>
  <c r="Q95" i="1"/>
  <c r="P95" i="1"/>
  <c r="O95" i="1"/>
  <c r="M95" i="1"/>
  <c r="J95" i="1"/>
  <c r="I95" i="1" s="1"/>
  <c r="F95" i="1"/>
  <c r="L95" i="1" s="1"/>
  <c r="O94" i="1"/>
  <c r="P94" i="1" s="1"/>
  <c r="N94" i="1"/>
  <c r="K94" i="1"/>
  <c r="J94" i="1"/>
  <c r="I94" i="1" s="1"/>
  <c r="F94" i="1"/>
  <c r="Q93" i="1"/>
  <c r="P93" i="1"/>
  <c r="O93" i="1"/>
  <c r="N93" i="1"/>
  <c r="L93" i="1"/>
  <c r="K93" i="1"/>
  <c r="J93" i="1"/>
  <c r="I93" i="1"/>
  <c r="F93" i="1"/>
  <c r="M93" i="1" s="1"/>
  <c r="O92" i="1"/>
  <c r="P92" i="1" s="1"/>
  <c r="N92" i="1"/>
  <c r="K92" i="1"/>
  <c r="J92" i="1"/>
  <c r="I92" i="1" s="1"/>
  <c r="F92" i="1"/>
  <c r="Q91" i="1"/>
  <c r="P91" i="1"/>
  <c r="O91" i="1"/>
  <c r="N91" i="1"/>
  <c r="L91" i="1"/>
  <c r="F91" i="1"/>
  <c r="M91" i="1" s="1"/>
  <c r="O90" i="1"/>
  <c r="P90" i="1" s="1"/>
  <c r="N90" i="1"/>
  <c r="L90" i="1"/>
  <c r="K90" i="1"/>
  <c r="F90" i="1"/>
  <c r="Q89" i="1"/>
  <c r="P89" i="1"/>
  <c r="O89" i="1"/>
  <c r="N89" i="1"/>
  <c r="M89" i="1"/>
  <c r="K89" i="1"/>
  <c r="J89" i="1"/>
  <c r="I89" i="1"/>
  <c r="F89" i="1"/>
  <c r="L89" i="1" s="1"/>
  <c r="O88" i="1"/>
  <c r="P88" i="1" s="1"/>
  <c r="N88" i="1"/>
  <c r="K88" i="1"/>
  <c r="J88" i="1"/>
  <c r="I88" i="1" s="1"/>
  <c r="F88" i="1"/>
  <c r="L88" i="1" s="1"/>
  <c r="Q87" i="1"/>
  <c r="P87" i="1"/>
  <c r="O87" i="1"/>
  <c r="N87" i="1"/>
  <c r="L87" i="1"/>
  <c r="J87" i="1"/>
  <c r="I87" i="1"/>
  <c r="F87" i="1"/>
  <c r="M87" i="1" s="1"/>
  <c r="O86" i="1"/>
  <c r="P86" i="1" s="1"/>
  <c r="K86" i="1"/>
  <c r="J86" i="1"/>
  <c r="I86" i="1" s="1"/>
  <c r="F86" i="1"/>
  <c r="L86" i="1" s="1"/>
  <c r="Q85" i="1"/>
  <c r="P85" i="1"/>
  <c r="O85" i="1"/>
  <c r="N85" i="1"/>
  <c r="M85" i="1"/>
  <c r="L85" i="1"/>
  <c r="K85" i="1"/>
  <c r="J85" i="1"/>
  <c r="I85" i="1"/>
  <c r="O84" i="1"/>
  <c r="P84" i="1" s="1"/>
  <c r="N84" i="1"/>
  <c r="K84" i="1"/>
  <c r="J84" i="1"/>
  <c r="I84" i="1"/>
  <c r="F84" i="1"/>
  <c r="P83" i="1"/>
  <c r="O83" i="1"/>
  <c r="N83" i="1"/>
  <c r="K83" i="1"/>
  <c r="J83" i="1"/>
  <c r="I83" i="1"/>
  <c r="F83" i="1"/>
  <c r="Q82" i="1"/>
  <c r="O82" i="1"/>
  <c r="N82" i="1"/>
  <c r="K82" i="1"/>
  <c r="L82" i="1" s="1"/>
  <c r="F82" i="1"/>
  <c r="Q81" i="1"/>
  <c r="O81" i="1"/>
  <c r="P81" i="1" s="1"/>
  <c r="N81" i="1"/>
  <c r="K81" i="1"/>
  <c r="I81" i="1"/>
  <c r="F81" i="1"/>
  <c r="O80" i="1"/>
  <c r="P80" i="1" s="1"/>
  <c r="N80" i="1"/>
  <c r="M80" i="1"/>
  <c r="K80" i="1"/>
  <c r="Q80" i="1" s="1"/>
  <c r="J80" i="1"/>
  <c r="I80" i="1"/>
  <c r="F80" i="1"/>
  <c r="L80" i="1" s="1"/>
  <c r="O79" i="1"/>
  <c r="N79" i="1"/>
  <c r="K79" i="1"/>
  <c r="J79" i="1"/>
  <c r="I79" i="1"/>
  <c r="F79" i="1"/>
  <c r="M79" i="1" s="1"/>
  <c r="O78" i="1"/>
  <c r="L78" i="1"/>
  <c r="K78" i="1"/>
  <c r="J78" i="1"/>
  <c r="I78" i="1"/>
  <c r="F78" i="1"/>
  <c r="O77" i="1"/>
  <c r="P77" i="1" s="1"/>
  <c r="N77" i="1"/>
  <c r="M77" i="1"/>
  <c r="K77" i="1"/>
  <c r="Q77" i="1" s="1"/>
  <c r="I77" i="1"/>
  <c r="F77" i="1"/>
  <c r="L77" i="1" s="1"/>
  <c r="O76" i="1"/>
  <c r="P76" i="1" s="1"/>
  <c r="N76" i="1"/>
  <c r="K76" i="1"/>
  <c r="Q76" i="1" s="1"/>
  <c r="J76" i="1"/>
  <c r="I76" i="1"/>
  <c r="F76" i="1"/>
  <c r="M76" i="1" s="1"/>
  <c r="P75" i="1"/>
  <c r="O75" i="1"/>
  <c r="N75" i="1"/>
  <c r="M75" i="1"/>
  <c r="L75" i="1"/>
  <c r="K75" i="1"/>
  <c r="Q75" i="1" s="1"/>
  <c r="J75" i="1"/>
  <c r="I75" i="1"/>
  <c r="Q74" i="1"/>
  <c r="P74" i="1"/>
  <c r="O74" i="1"/>
  <c r="N74" i="1"/>
  <c r="K74" i="1"/>
  <c r="J74" i="1"/>
  <c r="I74" i="1"/>
  <c r="F74" i="1"/>
  <c r="O73" i="1"/>
  <c r="P73" i="1" s="1"/>
  <c r="N73" i="1"/>
  <c r="K73" i="1"/>
  <c r="J73" i="1"/>
  <c r="I73" i="1" s="1"/>
  <c r="F73" i="1"/>
  <c r="P72" i="1"/>
  <c r="O72" i="1"/>
  <c r="Q72" i="1" s="1"/>
  <c r="N72" i="1"/>
  <c r="M72" i="1"/>
  <c r="L72" i="1"/>
  <c r="J72" i="1"/>
  <c r="I72" i="1"/>
  <c r="F72" i="1"/>
  <c r="O71" i="1"/>
  <c r="P71" i="1" s="1"/>
  <c r="N71" i="1"/>
  <c r="K71" i="1"/>
  <c r="Q71" i="1" s="1"/>
  <c r="J71" i="1"/>
  <c r="I71" i="1" s="1"/>
  <c r="F71" i="1"/>
  <c r="Q70" i="1"/>
  <c r="P70" i="1"/>
  <c r="O70" i="1"/>
  <c r="N70" i="1"/>
  <c r="M70" i="1"/>
  <c r="L70" i="1"/>
  <c r="K70" i="1"/>
  <c r="J70" i="1"/>
  <c r="I70" i="1" s="1"/>
  <c r="F70" i="1"/>
  <c r="O69" i="1"/>
  <c r="P69" i="1" s="1"/>
  <c r="N69" i="1"/>
  <c r="M69" i="1"/>
  <c r="K69" i="1"/>
  <c r="Q69" i="1" s="1"/>
  <c r="J69" i="1"/>
  <c r="I69" i="1" s="1"/>
  <c r="F69" i="1"/>
  <c r="L69" i="1" s="1"/>
  <c r="O68" i="1"/>
  <c r="N68" i="1"/>
  <c r="L68" i="1"/>
  <c r="J68" i="1"/>
  <c r="I68" i="1"/>
  <c r="F68" i="1"/>
  <c r="M68" i="1" s="1"/>
  <c r="P67" i="1"/>
  <c r="O67" i="1"/>
  <c r="Q67" i="1" s="1"/>
  <c r="N67" i="1"/>
  <c r="L67" i="1"/>
  <c r="K67" i="1"/>
  <c r="J67" i="1"/>
  <c r="I67" i="1" s="1"/>
  <c r="F67" i="1"/>
  <c r="M67" i="1" s="1"/>
  <c r="Q66" i="1"/>
  <c r="P66" i="1"/>
  <c r="O66" i="1"/>
  <c r="N66" i="1"/>
  <c r="K66" i="1"/>
  <c r="J66" i="1"/>
  <c r="I66" i="1"/>
  <c r="F66" i="1"/>
  <c r="O65" i="1"/>
  <c r="N65" i="1"/>
  <c r="K65" i="1"/>
  <c r="Q65" i="1" s="1"/>
  <c r="F65" i="1"/>
  <c r="P64" i="1"/>
  <c r="O64" i="1"/>
  <c r="Q64" i="1" s="1"/>
  <c r="N64" i="1"/>
  <c r="M64" i="1"/>
  <c r="L64" i="1"/>
  <c r="K64" i="1"/>
  <c r="J64" i="1"/>
  <c r="I64" i="1" s="1"/>
  <c r="F64" i="1"/>
  <c r="O63" i="1"/>
  <c r="N63" i="1"/>
  <c r="L63" i="1"/>
  <c r="K63" i="1"/>
  <c r="J63" i="1"/>
  <c r="I63" i="1" s="1"/>
  <c r="F63" i="1"/>
  <c r="M63" i="1" s="1"/>
  <c r="Q62" i="1"/>
  <c r="P62" i="1"/>
  <c r="O62" i="1"/>
  <c r="N62" i="1"/>
  <c r="K62" i="1"/>
  <c r="J62" i="1"/>
  <c r="I62" i="1"/>
  <c r="F62" i="1"/>
  <c r="O61" i="1"/>
  <c r="K61" i="1"/>
  <c r="Q61" i="1" s="1"/>
  <c r="J61" i="1"/>
  <c r="I61" i="1" s="1"/>
  <c r="F61" i="1"/>
  <c r="P60" i="1"/>
  <c r="O60" i="1"/>
  <c r="Q60" i="1" s="1"/>
  <c r="N60" i="1"/>
  <c r="M60" i="1"/>
  <c r="L60" i="1"/>
  <c r="K60" i="1"/>
  <c r="J60" i="1"/>
  <c r="I60" i="1" s="1"/>
  <c r="F60" i="1"/>
  <c r="O59" i="1"/>
  <c r="N59" i="1"/>
  <c r="L59" i="1"/>
  <c r="K59" i="1"/>
  <c r="J59" i="1"/>
  <c r="I59" i="1" s="1"/>
  <c r="F59" i="1"/>
  <c r="M59" i="1" s="1"/>
  <c r="Q58" i="1"/>
  <c r="P58" i="1"/>
  <c r="O58" i="1"/>
  <c r="N58" i="1"/>
  <c r="K58" i="1"/>
  <c r="J58" i="1"/>
  <c r="I58" i="1"/>
  <c r="F58" i="1"/>
  <c r="P57" i="1"/>
  <c r="O57" i="1"/>
  <c r="N57" i="1"/>
  <c r="K57" i="1"/>
  <c r="Q57" i="1" s="1"/>
  <c r="J57" i="1"/>
  <c r="I57" i="1" s="1"/>
  <c r="F57" i="1"/>
  <c r="Q56" i="1"/>
  <c r="P56" i="1"/>
  <c r="O56" i="1"/>
  <c r="N56" i="1"/>
  <c r="M56" i="1"/>
  <c r="L56" i="1"/>
  <c r="K56" i="1"/>
  <c r="J56" i="1"/>
  <c r="I56" i="1"/>
  <c r="O55" i="1"/>
  <c r="P55" i="1" s="1"/>
  <c r="N55" i="1"/>
  <c r="K55" i="1"/>
  <c r="Q55" i="1" s="1"/>
  <c r="F55" i="1"/>
  <c r="P54" i="1"/>
  <c r="O54" i="1"/>
  <c r="N54" i="1"/>
  <c r="M54" i="1"/>
  <c r="K54" i="1"/>
  <c r="Q54" i="1" s="1"/>
  <c r="J54" i="1"/>
  <c r="I54" i="1"/>
  <c r="F54" i="1"/>
  <c r="L54" i="1" s="1"/>
  <c r="Q53" i="1"/>
  <c r="O53" i="1"/>
  <c r="P53" i="1" s="1"/>
  <c r="N53" i="1"/>
  <c r="M53" i="1"/>
  <c r="K53" i="1"/>
  <c r="L53" i="1" s="1"/>
  <c r="J53" i="1"/>
  <c r="I53" i="1"/>
  <c r="F53" i="1"/>
  <c r="O52" i="1"/>
  <c r="K52" i="1"/>
  <c r="M52" i="1" s="1"/>
  <c r="J52" i="1"/>
  <c r="I52" i="1"/>
  <c r="F52" i="1"/>
  <c r="O51" i="1"/>
  <c r="N51" i="1"/>
  <c r="K51" i="1"/>
  <c r="Q51" i="1" s="1"/>
  <c r="J51" i="1"/>
  <c r="I51" i="1"/>
  <c r="F51" i="1"/>
  <c r="P50" i="1"/>
  <c r="O50" i="1"/>
  <c r="N50" i="1"/>
  <c r="K50" i="1"/>
  <c r="Q50" i="1" s="1"/>
  <c r="J50" i="1"/>
  <c r="I50" i="1"/>
  <c r="F50" i="1"/>
  <c r="L50" i="1" s="1"/>
  <c r="Q49" i="1"/>
  <c r="O49" i="1"/>
  <c r="P49" i="1" s="1"/>
  <c r="N49" i="1"/>
  <c r="M49" i="1"/>
  <c r="K49" i="1"/>
  <c r="L49" i="1" s="1"/>
  <c r="J49" i="1"/>
  <c r="I49" i="1"/>
  <c r="F49" i="1"/>
  <c r="Q48" i="1"/>
  <c r="O48" i="1"/>
  <c r="N48" i="1"/>
  <c r="K48" i="1"/>
  <c r="M48" i="1" s="1"/>
  <c r="I48" i="1"/>
  <c r="F48" i="1"/>
  <c r="O47" i="1"/>
  <c r="N47" i="1"/>
  <c r="M47" i="1"/>
  <c r="K47" i="1"/>
  <c r="Q47" i="1" s="1"/>
  <c r="F47" i="1"/>
  <c r="O46" i="1"/>
  <c r="P46" i="1" s="1"/>
  <c r="N46" i="1"/>
  <c r="M46" i="1"/>
  <c r="K46" i="1"/>
  <c r="J46" i="1"/>
  <c r="I46" i="1"/>
  <c r="F46" i="1"/>
  <c r="L46" i="1" s="1"/>
  <c r="O45" i="1"/>
  <c r="P45" i="1" s="1"/>
  <c r="N45" i="1"/>
  <c r="M45" i="1"/>
  <c r="K45" i="1"/>
  <c r="L45" i="1" s="1"/>
  <c r="J45" i="1"/>
  <c r="I45" i="1" s="1"/>
  <c r="F45" i="1"/>
  <c r="Q44" i="1"/>
  <c r="O44" i="1"/>
  <c r="P44" i="1" s="1"/>
  <c r="L44" i="1"/>
  <c r="K44" i="1"/>
  <c r="M44" i="1" s="1"/>
  <c r="J44" i="1"/>
  <c r="I44" i="1"/>
  <c r="F44" i="1"/>
  <c r="O43" i="1"/>
  <c r="N43" i="1"/>
  <c r="K43" i="1"/>
  <c r="Q43" i="1" s="1"/>
  <c r="J43" i="1"/>
  <c r="I43" i="1"/>
  <c r="F43" i="1"/>
  <c r="P42" i="1"/>
  <c r="O42" i="1"/>
  <c r="N42" i="1"/>
  <c r="M42" i="1"/>
  <c r="L42" i="1"/>
  <c r="K42" i="1"/>
  <c r="Q42" i="1" s="1"/>
  <c r="J42" i="1"/>
  <c r="I42" i="1"/>
  <c r="Q41" i="1"/>
  <c r="P41" i="1"/>
  <c r="O41" i="1"/>
  <c r="N41" i="1"/>
  <c r="M41" i="1"/>
  <c r="L41" i="1"/>
  <c r="K41" i="1"/>
  <c r="J41" i="1"/>
  <c r="I41" i="1"/>
  <c r="Q40" i="1"/>
  <c r="O40" i="1"/>
  <c r="P40" i="1" s="1"/>
  <c r="N40" i="1"/>
  <c r="M40" i="1"/>
  <c r="L40" i="1"/>
  <c r="K40" i="1"/>
  <c r="J40" i="1"/>
  <c r="I40" i="1"/>
  <c r="O39" i="1"/>
  <c r="H39" i="1"/>
  <c r="G39" i="1"/>
  <c r="G128" i="1" s="1"/>
  <c r="E39" i="1"/>
  <c r="D39" i="1"/>
  <c r="D129" i="1" s="1"/>
  <c r="C39" i="1"/>
  <c r="O38" i="1"/>
  <c r="P38" i="1" s="1"/>
  <c r="J38" i="1"/>
  <c r="I38" i="1" s="1"/>
  <c r="P37" i="1"/>
  <c r="O37" i="1"/>
  <c r="K37" i="1"/>
  <c r="Q37" i="1" s="1"/>
  <c r="J37" i="1"/>
  <c r="I37" i="1" s="1"/>
  <c r="F37" i="1"/>
  <c r="O36" i="1"/>
  <c r="Q36" i="1" s="1"/>
  <c r="N36" i="1"/>
  <c r="M36" i="1"/>
  <c r="L36" i="1"/>
  <c r="K36" i="1"/>
  <c r="J36" i="1"/>
  <c r="I36" i="1" s="1"/>
  <c r="F36" i="1"/>
  <c r="O35" i="1"/>
  <c r="N35" i="1"/>
  <c r="L35" i="1"/>
  <c r="K35" i="1"/>
  <c r="J35" i="1"/>
  <c r="I35" i="1"/>
  <c r="F35" i="1"/>
  <c r="M35" i="1" s="1"/>
  <c r="Q34" i="1"/>
  <c r="P34" i="1"/>
  <c r="O34" i="1"/>
  <c r="N34" i="1"/>
  <c r="K34" i="1"/>
  <c r="J34" i="1"/>
  <c r="I34" i="1"/>
  <c r="F34" i="1"/>
  <c r="O33" i="1"/>
  <c r="N33" i="1"/>
  <c r="K33" i="1"/>
  <c r="Q33" i="1" s="1"/>
  <c r="F33" i="1"/>
  <c r="O32" i="1"/>
  <c r="Q32" i="1" s="1"/>
  <c r="N32" i="1"/>
  <c r="M32" i="1"/>
  <c r="L32" i="1"/>
  <c r="K32" i="1"/>
  <c r="J32" i="1"/>
  <c r="I32" i="1" s="1"/>
  <c r="F32" i="1"/>
  <c r="O31" i="1"/>
  <c r="N31" i="1"/>
  <c r="L31" i="1"/>
  <c r="K31" i="1"/>
  <c r="J31" i="1"/>
  <c r="I31" i="1"/>
  <c r="F31" i="1"/>
  <c r="M31" i="1" s="1"/>
  <c r="Q30" i="1"/>
  <c r="P30" i="1"/>
  <c r="O30" i="1"/>
  <c r="N30" i="1"/>
  <c r="M30" i="1"/>
  <c r="L30" i="1"/>
  <c r="K30" i="1"/>
  <c r="J30" i="1"/>
  <c r="I30" i="1"/>
  <c r="Q29" i="1"/>
  <c r="O29" i="1"/>
  <c r="P29" i="1" s="1"/>
  <c r="J29" i="1"/>
  <c r="I29" i="1" s="1"/>
  <c r="F29" i="1"/>
  <c r="Q28" i="1"/>
  <c r="O28" i="1"/>
  <c r="P28" i="1" s="1"/>
  <c r="K28" i="1"/>
  <c r="M28" i="1" s="1"/>
  <c r="J28" i="1"/>
  <c r="I28" i="1"/>
  <c r="F28" i="1"/>
  <c r="O27" i="1"/>
  <c r="N27" i="1"/>
  <c r="M27" i="1"/>
  <c r="K27" i="1"/>
  <c r="J27" i="1"/>
  <c r="I27" i="1"/>
  <c r="F27" i="1"/>
  <c r="L27" i="1" s="1"/>
  <c r="O26" i="1"/>
  <c r="P26" i="1" s="1"/>
  <c r="N26" i="1"/>
  <c r="M26" i="1"/>
  <c r="K26" i="1"/>
  <c r="J26" i="1"/>
  <c r="I26" i="1" s="1"/>
  <c r="F26" i="1"/>
  <c r="L26" i="1" s="1"/>
  <c r="Q25" i="1"/>
  <c r="O25" i="1"/>
  <c r="P25" i="1" s="1"/>
  <c r="N25" i="1"/>
  <c r="M25" i="1"/>
  <c r="L25" i="1"/>
  <c r="K25" i="1"/>
  <c r="J25" i="1"/>
  <c r="I25" i="1" s="1"/>
  <c r="F25" i="1"/>
  <c r="O24" i="1"/>
  <c r="P24" i="1" s="1"/>
  <c r="N24" i="1"/>
  <c r="L24" i="1"/>
  <c r="K24" i="1"/>
  <c r="M24" i="1" s="1"/>
  <c r="I24" i="1"/>
  <c r="F24" i="1"/>
  <c r="O23" i="1"/>
  <c r="N23" i="1"/>
  <c r="K23" i="1"/>
  <c r="Q23" i="1" s="1"/>
  <c r="J23" i="1"/>
  <c r="I23" i="1"/>
  <c r="F23" i="1"/>
  <c r="P22" i="1"/>
  <c r="O22" i="1"/>
  <c r="N22" i="1"/>
  <c r="M22" i="1"/>
  <c r="K22" i="1"/>
  <c r="Q22" i="1" s="1"/>
  <c r="J22" i="1"/>
  <c r="I22" i="1" s="1"/>
  <c r="F22" i="1"/>
  <c r="L22" i="1" s="1"/>
  <c r="Q21" i="1"/>
  <c r="O21" i="1"/>
  <c r="P21" i="1" s="1"/>
  <c r="L21" i="1"/>
  <c r="J21" i="1"/>
  <c r="I21" i="1"/>
  <c r="F21" i="1"/>
  <c r="Q20" i="1"/>
  <c r="O20" i="1"/>
  <c r="P20" i="1" s="1"/>
  <c r="N20" i="1"/>
  <c r="L20" i="1"/>
  <c r="K20" i="1"/>
  <c r="M20" i="1" s="1"/>
  <c r="J20" i="1"/>
  <c r="I20" i="1"/>
  <c r="F20" i="1"/>
  <c r="P19" i="1"/>
  <c r="O19" i="1"/>
  <c r="N19" i="1"/>
  <c r="K19" i="1"/>
  <c r="Q19" i="1" s="1"/>
  <c r="J19" i="1"/>
  <c r="I19" i="1"/>
  <c r="F19" i="1"/>
  <c r="L19" i="1" s="1"/>
  <c r="O18" i="1"/>
  <c r="P18" i="1" s="1"/>
  <c r="N18" i="1"/>
  <c r="M18" i="1"/>
  <c r="L18" i="1"/>
  <c r="K18" i="1"/>
  <c r="Q18" i="1" s="1"/>
  <c r="J18" i="1"/>
  <c r="I18" i="1"/>
  <c r="Q17" i="1"/>
  <c r="P17" i="1"/>
  <c r="O17" i="1"/>
  <c r="N17" i="1"/>
  <c r="K17" i="1"/>
  <c r="J17" i="1"/>
  <c r="I17" i="1"/>
  <c r="F17" i="1"/>
  <c r="P16" i="1"/>
  <c r="O16" i="1"/>
  <c r="N16" i="1"/>
  <c r="M16" i="1"/>
  <c r="L16" i="1"/>
  <c r="K16" i="1"/>
  <c r="Q16" i="1" s="1"/>
  <c r="J16" i="1"/>
  <c r="I16" i="1"/>
  <c r="C8" i="1"/>
  <c r="C7" i="1"/>
  <c r="K109" i="4" l="1"/>
  <c r="K121" i="4" s="1"/>
  <c r="L109" i="4"/>
  <c r="L121" i="4" s="1"/>
  <c r="P107" i="5"/>
  <c r="O110" i="1" s="1"/>
  <c r="Q84" i="1"/>
  <c r="M17" i="1"/>
  <c r="L17" i="1"/>
  <c r="F39" i="1"/>
  <c r="M73" i="1"/>
  <c r="L73" i="1"/>
  <c r="Q35" i="1"/>
  <c r="P35" i="1"/>
  <c r="Q45" i="1"/>
  <c r="L52" i="1"/>
  <c r="Q24" i="1"/>
  <c r="P33" i="1"/>
  <c r="C128" i="1"/>
  <c r="C112" i="1"/>
  <c r="C124" i="1" s="1"/>
  <c r="C129" i="1"/>
  <c r="P43" i="1"/>
  <c r="L47" i="1"/>
  <c r="L48" i="1"/>
  <c r="M50" i="1"/>
  <c r="M51" i="1"/>
  <c r="P52" i="1"/>
  <c r="M57" i="1"/>
  <c r="L57" i="1"/>
  <c r="P61" i="1"/>
  <c r="Q79" i="1"/>
  <c r="P79" i="1"/>
  <c r="Q83" i="1"/>
  <c r="P101" i="1"/>
  <c r="Q101" i="1"/>
  <c r="M106" i="1"/>
  <c r="L106" i="1"/>
  <c r="K117" i="1"/>
  <c r="P119" i="3"/>
  <c r="K122" i="1" s="1"/>
  <c r="M23" i="1"/>
  <c r="M19" i="1"/>
  <c r="P23" i="1"/>
  <c r="M34" i="1"/>
  <c r="L34" i="1"/>
  <c r="Q52" i="1"/>
  <c r="M62" i="1"/>
  <c r="L62" i="1"/>
  <c r="Q68" i="1"/>
  <c r="P68" i="1"/>
  <c r="M71" i="1"/>
  <c r="L71" i="1"/>
  <c r="P97" i="1"/>
  <c r="Q97" i="1"/>
  <c r="L83" i="1"/>
  <c r="M83" i="1"/>
  <c r="M108" i="1"/>
  <c r="L108" i="1"/>
  <c r="M58" i="1"/>
  <c r="L58" i="1"/>
  <c r="Q63" i="1"/>
  <c r="P63" i="1"/>
  <c r="M37" i="1"/>
  <c r="L37" i="1"/>
  <c r="Q38" i="1"/>
  <c r="M65" i="1"/>
  <c r="L65" i="1"/>
  <c r="L23" i="1"/>
  <c r="L43" i="1"/>
  <c r="P48" i="1"/>
  <c r="P51" i="1"/>
  <c r="L55" i="1"/>
  <c r="Q78" i="1"/>
  <c r="M78" i="1"/>
  <c r="M81" i="1"/>
  <c r="L81" i="1"/>
  <c r="D129" i="2"/>
  <c r="L121" i="3"/>
  <c r="L129" i="3" s="1"/>
  <c r="C129" i="3"/>
  <c r="M43" i="1"/>
  <c r="Q31" i="1"/>
  <c r="P31" i="1"/>
  <c r="Q46" i="1"/>
  <c r="E109" i="2"/>
  <c r="E121" i="2" s="1"/>
  <c r="E125" i="2"/>
  <c r="J82" i="1"/>
  <c r="I82" i="1" s="1"/>
  <c r="P116" i="2"/>
  <c r="J119" i="1" s="1"/>
  <c r="K129" i="3"/>
  <c r="I125" i="4"/>
  <c r="I109" i="4"/>
  <c r="I121" i="4" s="1"/>
  <c r="I126" i="4"/>
  <c r="M66" i="1"/>
  <c r="L66" i="1"/>
  <c r="M33" i="1"/>
  <c r="L33" i="1"/>
  <c r="Q59" i="1"/>
  <c r="P59" i="1"/>
  <c r="M74" i="1"/>
  <c r="L74" i="1"/>
  <c r="Q26" i="1"/>
  <c r="P27" i="1"/>
  <c r="Q27" i="1"/>
  <c r="L28" i="1"/>
  <c r="P47" i="1"/>
  <c r="L51" i="1"/>
  <c r="M55" i="1"/>
  <c r="M61" i="1"/>
  <c r="L61" i="1"/>
  <c r="P65" i="1"/>
  <c r="I110" i="1"/>
  <c r="K129" i="2"/>
  <c r="L29" i="1"/>
  <c r="M29" i="1"/>
  <c r="M38" i="1"/>
  <c r="L38" i="1"/>
  <c r="J125" i="3"/>
  <c r="J109" i="3"/>
  <c r="J121" i="3" s="1"/>
  <c r="J126" i="3"/>
  <c r="J109" i="4"/>
  <c r="J121" i="4" s="1"/>
  <c r="J129" i="4" s="1"/>
  <c r="J125" i="4"/>
  <c r="Q86" i="1"/>
  <c r="Q88" i="1"/>
  <c r="Q92" i="1"/>
  <c r="M94" i="1"/>
  <c r="Q94" i="1"/>
  <c r="P82" i="1"/>
  <c r="M84" i="1"/>
  <c r="M90" i="1"/>
  <c r="Q90" i="1"/>
  <c r="L94" i="1"/>
  <c r="M99" i="1"/>
  <c r="P107" i="1"/>
  <c r="G112" i="1"/>
  <c r="G124" i="1" s="1"/>
  <c r="G132" i="1" s="1"/>
  <c r="M127" i="1"/>
  <c r="Q127" i="1"/>
  <c r="I121" i="3"/>
  <c r="I125" i="3"/>
  <c r="P107" i="4"/>
  <c r="N110" i="1" s="1"/>
  <c r="E121" i="4"/>
  <c r="E129" i="4" s="1"/>
  <c r="Q73" i="1"/>
  <c r="L79" i="1"/>
  <c r="Q99" i="1"/>
  <c r="M105" i="1"/>
  <c r="L105" i="1"/>
  <c r="Q109" i="1"/>
  <c r="F125" i="2"/>
  <c r="F109" i="2"/>
  <c r="F121" i="2" s="1"/>
  <c r="F129" i="2" s="1"/>
  <c r="F126" i="2"/>
  <c r="E126" i="3"/>
  <c r="E129" i="1"/>
  <c r="E112" i="1"/>
  <c r="E124" i="1" s="1"/>
  <c r="E132" i="1" s="1"/>
  <c r="F110" i="1"/>
  <c r="L76" i="1"/>
  <c r="L84" i="1"/>
  <c r="P36" i="2"/>
  <c r="E121" i="3"/>
  <c r="E129" i="3" s="1"/>
  <c r="P32" i="1"/>
  <c r="P36" i="1"/>
  <c r="P78" i="1"/>
  <c r="M86" i="1"/>
  <c r="M88" i="1"/>
  <c r="M92" i="1"/>
  <c r="L92" i="1"/>
  <c r="Q105" i="1"/>
  <c r="M107" i="1"/>
  <c r="Q107" i="1"/>
  <c r="P119" i="1"/>
  <c r="D128" i="1"/>
  <c r="D132" i="1" s="1"/>
  <c r="P107" i="2"/>
  <c r="J110" i="1" s="1"/>
  <c r="F109" i="3"/>
  <c r="F121" i="3" s="1"/>
  <c r="F129" i="3" s="1"/>
  <c r="F125" i="3"/>
  <c r="I126" i="3"/>
  <c r="O117" i="1"/>
  <c r="P117" i="1" s="1"/>
  <c r="M82" i="1"/>
  <c r="Q98" i="1"/>
  <c r="Q102" i="1"/>
  <c r="L107" i="1"/>
  <c r="F122" i="1"/>
  <c r="M121" i="1"/>
  <c r="E128" i="1"/>
  <c r="G129" i="1"/>
  <c r="I109" i="2"/>
  <c r="I121" i="2" s="1"/>
  <c r="I129" i="2" s="1"/>
  <c r="P36" i="3"/>
  <c r="E125" i="3"/>
  <c r="P125" i="3" s="1"/>
  <c r="K128" i="1" s="1"/>
  <c r="P126" i="5"/>
  <c r="O129" i="1" s="1"/>
  <c r="J109" i="2"/>
  <c r="J121" i="2" s="1"/>
  <c r="J129" i="2" s="1"/>
  <c r="J125" i="2"/>
  <c r="P107" i="3"/>
  <c r="K110" i="1" s="1"/>
  <c r="P36" i="4"/>
  <c r="L109" i="1"/>
  <c r="G126" i="2"/>
  <c r="G129" i="2" s="1"/>
  <c r="C126" i="3"/>
  <c r="K126" i="3"/>
  <c r="G126" i="4"/>
  <c r="G129" i="4" s="1"/>
  <c r="C125" i="2"/>
  <c r="C129" i="2" s="1"/>
  <c r="K125" i="2"/>
  <c r="G125" i="3"/>
  <c r="G129" i="3" s="1"/>
  <c r="F109" i="4"/>
  <c r="F121" i="4" s="1"/>
  <c r="C125" i="4"/>
  <c r="K125" i="4"/>
  <c r="K129" i="4" s="1"/>
  <c r="H126" i="4"/>
  <c r="H129" i="4" s="1"/>
  <c r="J109" i="5"/>
  <c r="F125" i="5"/>
  <c r="C126" i="5"/>
  <c r="K126" i="5"/>
  <c r="C109" i="5"/>
  <c r="C121" i="5" s="1"/>
  <c r="C129" i="5" s="1"/>
  <c r="D127" i="5" s="1"/>
  <c r="K109" i="5"/>
  <c r="G125" i="5"/>
  <c r="D126" i="5"/>
  <c r="D118" i="5" s="1"/>
  <c r="L126" i="5"/>
  <c r="F125" i="4"/>
  <c r="C126" i="4"/>
  <c r="K126" i="4"/>
  <c r="I125" i="5"/>
  <c r="F126" i="5"/>
  <c r="D126" i="4"/>
  <c r="D129" i="4" s="1"/>
  <c r="L126" i="4"/>
  <c r="L129" i="4" s="1"/>
  <c r="G126" i="5"/>
  <c r="H126" i="5"/>
  <c r="Q110" i="1" l="1"/>
  <c r="P109" i="5"/>
  <c r="O112" i="1" s="1"/>
  <c r="D119" i="5"/>
  <c r="D121" i="5" s="1"/>
  <c r="D129" i="5" s="1"/>
  <c r="E127" i="5" s="1"/>
  <c r="E118" i="5" s="1"/>
  <c r="E119" i="5" s="1"/>
  <c r="E121" i="5" s="1"/>
  <c r="E129" i="5" s="1"/>
  <c r="F127" i="5" s="1"/>
  <c r="F118" i="5" s="1"/>
  <c r="F119" i="5" s="1"/>
  <c r="F121" i="5" s="1"/>
  <c r="F129" i="5" s="1"/>
  <c r="G127" i="5" s="1"/>
  <c r="G118" i="5" s="1"/>
  <c r="G119" i="5" s="1"/>
  <c r="G121" i="5" s="1"/>
  <c r="G129" i="5" s="1"/>
  <c r="H127" i="5" s="1"/>
  <c r="H118" i="5" s="1"/>
  <c r="H119" i="5" s="1"/>
  <c r="H121" i="5" s="1"/>
  <c r="H129" i="5" s="1"/>
  <c r="I127" i="5" s="1"/>
  <c r="I118" i="5" s="1"/>
  <c r="I119" i="5" s="1"/>
  <c r="I121" i="5" s="1"/>
  <c r="I129" i="5" s="1"/>
  <c r="J127" i="5" s="1"/>
  <c r="J118" i="5" s="1"/>
  <c r="J119" i="5" s="1"/>
  <c r="J121" i="5" s="1"/>
  <c r="J129" i="5" s="1"/>
  <c r="K127" i="5" s="1"/>
  <c r="K118" i="5" s="1"/>
  <c r="K119" i="5" s="1"/>
  <c r="K121" i="5" s="1"/>
  <c r="K129" i="5" s="1"/>
  <c r="L127" i="5" s="1"/>
  <c r="L118" i="5" s="1"/>
  <c r="L119" i="5" s="1"/>
  <c r="L121" i="5" s="1"/>
  <c r="L129" i="5" s="1"/>
  <c r="P129" i="1"/>
  <c r="P125" i="5"/>
  <c r="O128" i="1" s="1"/>
  <c r="P128" i="1" s="1"/>
  <c r="P125" i="4"/>
  <c r="N128" i="1" s="1"/>
  <c r="C129" i="4"/>
  <c r="P110" i="1"/>
  <c r="F128" i="1"/>
  <c r="F112" i="1"/>
  <c r="F129" i="1"/>
  <c r="P126" i="4"/>
  <c r="N129" i="1" s="1"/>
  <c r="P109" i="4"/>
  <c r="N39" i="1"/>
  <c r="L122" i="1"/>
  <c r="M122" i="1"/>
  <c r="P109" i="2"/>
  <c r="P126" i="2"/>
  <c r="J129" i="1" s="1"/>
  <c r="J39" i="1"/>
  <c r="I39" i="1" s="1"/>
  <c r="F129" i="4"/>
  <c r="P109" i="3"/>
  <c r="P126" i="3"/>
  <c r="K129" i="1" s="1"/>
  <c r="Q129" i="1" s="1"/>
  <c r="K39" i="1"/>
  <c r="I129" i="3"/>
  <c r="M110" i="1"/>
  <c r="L110" i="1"/>
  <c r="P119" i="2"/>
  <c r="J122" i="1" s="1"/>
  <c r="E129" i="2"/>
  <c r="Q117" i="1"/>
  <c r="J129" i="3"/>
  <c r="P125" i="2"/>
  <c r="J128" i="1" s="1"/>
  <c r="I129" i="4"/>
  <c r="C132" i="1"/>
  <c r="P121" i="3" l="1"/>
  <c r="K112" i="1"/>
  <c r="Q112" i="1" s="1"/>
  <c r="M112" i="1"/>
  <c r="F124" i="1"/>
  <c r="L112" i="1"/>
  <c r="L128" i="1"/>
  <c r="M128" i="1"/>
  <c r="P112" i="1"/>
  <c r="Q39" i="1"/>
  <c r="P39" i="1"/>
  <c r="L39" i="1"/>
  <c r="P118" i="5"/>
  <c r="M129" i="1"/>
  <c r="L129" i="1"/>
  <c r="N112" i="1"/>
  <c r="P121" i="4"/>
  <c r="J112" i="1"/>
  <c r="I112" i="1" s="1"/>
  <c r="P121" i="2"/>
  <c r="M39" i="1"/>
  <c r="Q128" i="1"/>
  <c r="P129" i="4" l="1"/>
  <c r="N132" i="1" s="1"/>
  <c r="N124" i="1"/>
  <c r="O121" i="1"/>
  <c r="P119" i="5"/>
  <c r="M124" i="1"/>
  <c r="L124" i="1"/>
  <c r="F132" i="1"/>
  <c r="P129" i="2"/>
  <c r="J132" i="1" s="1"/>
  <c r="J124" i="1"/>
  <c r="P129" i="3"/>
  <c r="K132" i="1" s="1"/>
  <c r="K124" i="1"/>
  <c r="O122" i="1" l="1"/>
  <c r="P121" i="5"/>
  <c r="P121" i="1"/>
  <c r="Q121" i="1"/>
  <c r="M132" i="1"/>
  <c r="L132" i="1"/>
  <c r="P129" i="5" l="1"/>
  <c r="O132" i="1" s="1"/>
  <c r="O124" i="1"/>
  <c r="P122" i="1"/>
  <c r="Q122" i="1"/>
  <c r="P124" i="1" l="1"/>
  <c r="Q124" i="1"/>
  <c r="P132" i="1"/>
  <c r="Q132" i="1"/>
</calcChain>
</file>

<file path=xl/sharedStrings.xml><?xml version="1.0" encoding="utf-8"?>
<sst xmlns="http://schemas.openxmlformats.org/spreadsheetml/2006/main" count="1065" uniqueCount="237">
  <si>
    <t>KL-CW JV</t>
  </si>
  <si>
    <t>Print Date: 2026-01-15</t>
  </si>
  <si>
    <t>Project Code:</t>
  </si>
  <si>
    <t>Project Name:</t>
  </si>
  <si>
    <t>Contract No. DC/2023/11 Construction and Rehabilitation of Sewage Rising Mains in Southern District</t>
  </si>
  <si>
    <t>Report Date:</t>
  </si>
  <si>
    <t>2025-12-31</t>
  </si>
  <si>
    <t>Start Date:</t>
  </si>
  <si>
    <t>2025-01-03</t>
  </si>
  <si>
    <t>Monthly Financial Report</t>
  </si>
  <si>
    <t>Complete Date:</t>
  </si>
  <si>
    <t>2029-06-04                                Time Consumed (%):</t>
  </si>
  <si>
    <t>Confidential</t>
  </si>
  <si>
    <t>Target Complete Date:</t>
  </si>
  <si>
    <t xml:space="preserve">                                Target Completed (%):</t>
  </si>
  <si>
    <t>(HK$'000)</t>
  </si>
  <si>
    <t>Financial Status</t>
  </si>
  <si>
    <t>Item</t>
  </si>
  <si>
    <t>Trade</t>
  </si>
  <si>
    <t>Budget</t>
  </si>
  <si>
    <t>Business Plan</t>
  </si>
  <si>
    <t xml:space="preserve">Audit Report (WIP) </t>
  </si>
  <si>
    <t>Adjustment Cost / Variation</t>
  </si>
  <si>
    <t>Projection</t>
  </si>
  <si>
    <t>Committed Value / Cost</t>
  </si>
  <si>
    <t>Accrual 
(Before Retention)</t>
  </si>
  <si>
    <t>Cash Flow</t>
  </si>
  <si>
    <t>Tender</t>
  </si>
  <si>
    <t>1st Working Budget</t>
  </si>
  <si>
    <t xml:space="preserve"> Adjustment Cost/ variation </t>
  </si>
  <si>
    <t>Revision as at</t>
  </si>
  <si>
    <t>Actual received &amp; paid</t>
  </si>
  <si>
    <t xml:space="preserve">Balance to </t>
  </si>
  <si>
    <t>as at</t>
  </si>
  <si>
    <t>% of time elapse</t>
  </si>
  <si>
    <t>Balance</t>
  </si>
  <si>
    <t>A</t>
  </si>
  <si>
    <t>B</t>
  </si>
  <si>
    <t>C</t>
  </si>
  <si>
    <t>D=B+C</t>
  </si>
  <si>
    <t>J</t>
  </si>
  <si>
    <t>k=I-J</t>
  </si>
  <si>
    <t>I</t>
  </si>
  <si>
    <t>E</t>
  </si>
  <si>
    <t>E1=E/D</t>
  </si>
  <si>
    <t>F=D-E</t>
  </si>
  <si>
    <t>G</t>
  </si>
  <si>
    <t>G1=G/E</t>
  </si>
  <si>
    <t>H=E-G</t>
  </si>
  <si>
    <t>Income</t>
  </si>
  <si>
    <t>Original Contract Works</t>
  </si>
  <si>
    <t>V.O. / Compensation Events</t>
  </si>
  <si>
    <t>1.2.1</t>
  </si>
  <si>
    <t xml:space="preserve">  -V.O. / C.E.</t>
  </si>
  <si>
    <t>1.2.2</t>
  </si>
  <si>
    <t xml:space="preserve">  -Fee of C.E.</t>
  </si>
  <si>
    <t>Provisional Sum</t>
  </si>
  <si>
    <t>Adjustment for Provisional Quantities (remeasurement) and PC Rates</t>
  </si>
  <si>
    <t>NSC</t>
  </si>
  <si>
    <t>Profit &amp; Attendance</t>
  </si>
  <si>
    <t>Claims</t>
  </si>
  <si>
    <t>Price Fluctuation / CPF</t>
  </si>
  <si>
    <t>MPF Reimbursement</t>
  </si>
  <si>
    <t xml:space="preserve">1.10 </t>
  </si>
  <si>
    <t>SA</t>
  </si>
  <si>
    <t>CSD</t>
  </si>
  <si>
    <t>Other Revenue / Pain Gain Sharing</t>
  </si>
  <si>
    <t>1.12.1</t>
  </si>
  <si>
    <t xml:space="preserve">  -Other Revenue</t>
  </si>
  <si>
    <t>1.12.2</t>
  </si>
  <si>
    <t xml:space="preserve">  -Pain Gain Sharing</t>
  </si>
  <si>
    <t>1.12.3</t>
  </si>
  <si>
    <t xml:space="preserve">  -Stretch Target Income</t>
  </si>
  <si>
    <t>Less :LD</t>
  </si>
  <si>
    <t>Less :Retention Money</t>
  </si>
  <si>
    <t>Less :Retention Money (NSC)</t>
  </si>
  <si>
    <t>Partialing Income Total</t>
  </si>
  <si>
    <t>Advance Payment</t>
  </si>
  <si>
    <t>Total Income</t>
  </si>
  <si>
    <t>Less : Cost</t>
  </si>
  <si>
    <t>Preliminaries</t>
  </si>
  <si>
    <t>2.1.1</t>
  </si>
  <si>
    <t xml:space="preserve">  -Manpower (Mgt. &amp; Supervision)</t>
  </si>
  <si>
    <t>2.1.13</t>
  </si>
  <si>
    <t xml:space="preserve">  -Manpower (HO-Consultant)</t>
  </si>
  <si>
    <t>2.1.2</t>
  </si>
  <si>
    <t xml:space="preserve">  -Manpower (RE)</t>
  </si>
  <si>
    <t>2.1.3</t>
  </si>
  <si>
    <t xml:space="preserve">  -Manpower (Labour)</t>
  </si>
  <si>
    <t>2.1.4</t>
  </si>
  <si>
    <t xml:space="preserve">  -Adm. Cost one off item (Insurance, Bond &amp; Levies)</t>
  </si>
  <si>
    <t>2.1.5</t>
  </si>
  <si>
    <t xml:space="preserve">  -Adm. Cost Others (General site overhead, includes RE)</t>
  </si>
  <si>
    <t>2.1.6</t>
  </si>
  <si>
    <t xml:space="preserve">  -Adm. Cost Financial Cost (TR interest &amp; Bank charge)</t>
  </si>
  <si>
    <t>2.1.7</t>
  </si>
  <si>
    <t xml:space="preserve">  -Adm. Cost Messing</t>
  </si>
  <si>
    <t>2.1.8</t>
  </si>
  <si>
    <t xml:space="preserve">  -DSC</t>
  </si>
  <si>
    <t>2.1.9</t>
  </si>
  <si>
    <t xml:space="preserve">  -General Material</t>
  </si>
  <si>
    <t>2.1.10</t>
  </si>
  <si>
    <t xml:space="preserve">  -Plant</t>
  </si>
  <si>
    <t>2.1.11</t>
  </si>
  <si>
    <t xml:space="preserve">  -JV Partner Management Fee</t>
  </si>
  <si>
    <t>2.1.12</t>
  </si>
  <si>
    <t xml:space="preserve">  -Potential Savings (Preliminaries)</t>
  </si>
  <si>
    <t>Materials</t>
  </si>
  <si>
    <t>2.2.1</t>
  </si>
  <si>
    <t xml:space="preserve">  -Concrete</t>
  </si>
  <si>
    <t>2.2.2</t>
  </si>
  <si>
    <t xml:space="preserve">  -Reinforcement</t>
  </si>
  <si>
    <t>2.2.3</t>
  </si>
  <si>
    <t xml:space="preserve">  -Tile, Granite &amp; Marble</t>
  </si>
  <si>
    <t>2.2.4</t>
  </si>
  <si>
    <t xml:space="preserve">  -Temporary Work (Structural Steel and Sheet Piles)</t>
  </si>
  <si>
    <t>2.2.5</t>
  </si>
  <si>
    <t xml:space="preserve">  -Structural Steel Member</t>
  </si>
  <si>
    <t>2.2.6</t>
  </si>
  <si>
    <t xml:space="preserve">  -Furniture</t>
  </si>
  <si>
    <t>2.2.7</t>
  </si>
  <si>
    <t xml:space="preserve">  -Sanitary Fitting</t>
  </si>
  <si>
    <t>2.2.8</t>
  </si>
  <si>
    <t xml:space="preserve">  -Ironmongery</t>
  </si>
  <si>
    <t>2.2.9</t>
  </si>
  <si>
    <t xml:space="preserve">  -MVAC</t>
  </si>
  <si>
    <t>2.2.10</t>
  </si>
  <si>
    <t xml:space="preserve">  -Electrical</t>
  </si>
  <si>
    <t>2.2.11</t>
  </si>
  <si>
    <t xml:space="preserve">  -P&amp;D</t>
  </si>
  <si>
    <t>2.2.12</t>
  </si>
  <si>
    <t xml:space="preserve">  -FS</t>
  </si>
  <si>
    <t>2.2.13</t>
  </si>
  <si>
    <t xml:space="preserve">  -Others Material Cost</t>
  </si>
  <si>
    <t>2.2.14</t>
  </si>
  <si>
    <t xml:space="preserve">  -Deposit</t>
  </si>
  <si>
    <t>2.2.15</t>
  </si>
  <si>
    <t xml:space="preserve">  -Potential Savings (Materials)</t>
  </si>
  <si>
    <t>2.2.16</t>
  </si>
  <si>
    <t xml:space="preserve">  -Concrete (for Tunnel)</t>
  </si>
  <si>
    <t>2.2.17</t>
  </si>
  <si>
    <t xml:space="preserve">  -Reinforcement (for Tunnel)</t>
  </si>
  <si>
    <t>2.2.18</t>
  </si>
  <si>
    <t xml:space="preserve">  -P&amp;D Material (for Tunnel)</t>
  </si>
  <si>
    <t>Plant &amp; Machinery</t>
  </si>
  <si>
    <t>2.3.1</t>
  </si>
  <si>
    <t xml:space="preserve">  -Plant, Equipments &amp; Tools (purchased)</t>
  </si>
  <si>
    <t>2.3.2</t>
  </si>
  <si>
    <t xml:space="preserve">  -Plant, Equipments &amp; Tools (external hire)</t>
  </si>
  <si>
    <t>2.3.3</t>
  </si>
  <si>
    <t xml:space="preserve">  -Diesel &amp; Lubricant</t>
  </si>
  <si>
    <t>2.3.4</t>
  </si>
  <si>
    <t xml:space="preserve">  -Repairing</t>
  </si>
  <si>
    <t>2.3.5</t>
  </si>
  <si>
    <t xml:space="preserve">  -Resale</t>
  </si>
  <si>
    <t>2.3.6</t>
  </si>
  <si>
    <t xml:space="preserve">  -Others Plant &amp; Machinery</t>
  </si>
  <si>
    <t>2.3.7</t>
  </si>
  <si>
    <t xml:space="preserve">  -Depreciation (in Ledger)</t>
  </si>
  <si>
    <t>2.3.8</t>
  </si>
  <si>
    <t xml:space="preserve">  -Potential Savings (Plants)</t>
  </si>
  <si>
    <t>2.3.9</t>
  </si>
  <si>
    <t xml:space="preserve">  - Plant, Equipments &amp; Tools (internal hire)</t>
  </si>
  <si>
    <t>Subcontractor</t>
  </si>
  <si>
    <t>2.4.1</t>
  </si>
  <si>
    <t xml:space="preserve">  -Contract Works</t>
  </si>
  <si>
    <t>2.4.2</t>
  </si>
  <si>
    <t xml:space="preserve">  -Variation</t>
  </si>
  <si>
    <t>2.4.3</t>
  </si>
  <si>
    <t xml:space="preserve">  -Claim</t>
  </si>
  <si>
    <t>2.4.4</t>
  </si>
  <si>
    <t xml:space="preserve">  -Contra Charge</t>
  </si>
  <si>
    <t>2.4.5</t>
  </si>
  <si>
    <t xml:space="preserve">  -Down Payment</t>
  </si>
  <si>
    <t>2.4.6</t>
  </si>
  <si>
    <t xml:space="preserve">  -Retention</t>
  </si>
  <si>
    <t>2.4.7</t>
  </si>
  <si>
    <t xml:space="preserve">  -Potential Savings (DSC)</t>
  </si>
  <si>
    <t>2.4.8</t>
  </si>
  <si>
    <t xml:space="preserve">  -Commercial Settlement</t>
  </si>
  <si>
    <t>2.4.9</t>
  </si>
  <si>
    <t xml:space="preserve">  -Contract Works (for Tunnel)</t>
  </si>
  <si>
    <t>Manpower (Labour) for Works</t>
  </si>
  <si>
    <t>Nominated Package</t>
  </si>
  <si>
    <t>2.6.1</t>
  </si>
  <si>
    <t xml:space="preserve">  -Nominated Subcontractor</t>
  </si>
  <si>
    <t>2.6.2</t>
  </si>
  <si>
    <t xml:space="preserve">  -Nominated Supplier</t>
  </si>
  <si>
    <t>Allow for Contingencies</t>
  </si>
  <si>
    <t>Allow for Defects Rectification Works</t>
  </si>
  <si>
    <t>Tender Fee</t>
  </si>
  <si>
    <t xml:space="preserve">2.10 </t>
  </si>
  <si>
    <t>Partialing Cost Total</t>
  </si>
  <si>
    <t>Incentive / POR Bonus</t>
  </si>
  <si>
    <t>2.11.1</t>
  </si>
  <si>
    <t xml:space="preserve">  -Cost saving related bonus</t>
  </si>
  <si>
    <t>2.11.2</t>
  </si>
  <si>
    <t xml:space="preserve">  -Non-cost saving related bonus</t>
  </si>
  <si>
    <t>2.11.3</t>
  </si>
  <si>
    <t xml:space="preserve">  -Cost saving achieved</t>
  </si>
  <si>
    <t>CPR Penalty</t>
  </si>
  <si>
    <t>HO - Transformation Performance Fee</t>
  </si>
  <si>
    <t>Stretch Target (Cost)</t>
  </si>
  <si>
    <t>Total Cost</t>
  </si>
  <si>
    <t>Gross Profit (Item 1.0-2.0) (Financial A/C)</t>
  </si>
  <si>
    <t>Reconciliation</t>
  </si>
  <si>
    <t>Less: Cost</t>
  </si>
  <si>
    <t xml:space="preserve">  -Adm Reconciliation (TR interest &amp; Bank charge)</t>
  </si>
  <si>
    <t>Depreciation (in Ledger)</t>
  </si>
  <si>
    <t>Less/(Add) : Internal Interest (5% for +) &amp; (5% for -)</t>
  </si>
  <si>
    <t>Total Adjustment</t>
  </si>
  <si>
    <t>Gross Profit (Item 3.0-4.3)</t>
  </si>
  <si>
    <t>Overhead</t>
  </si>
  <si>
    <t>HO Overhead Rate %</t>
  </si>
  <si>
    <t>6.1.1</t>
  </si>
  <si>
    <t>HO Overhead (6.0000% of Total Income excl. PC &amp; Provisional Sum)</t>
  </si>
  <si>
    <t>6.1.2</t>
  </si>
  <si>
    <t>BU Overhead (0.0000% of Total Income excl. PC &amp; Provisional Sum)</t>
  </si>
  <si>
    <t>Acc. Profit/(Loss) ~ B/F</t>
  </si>
  <si>
    <t>Acc. Net Profit/(Loss)</t>
  </si>
  <si>
    <t>(=Item5.0 - 6.0 + 6.2)</t>
  </si>
  <si>
    <t>Bal B/F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</si>
  <si>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</si>
  <si>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</si>
  <si>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</si>
  <si>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</si>
  <si>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</si>
  <si>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</si>
  <si>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</si>
  <si>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</si>
  <si>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</si>
  <si>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</si>
  <si>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</si>
  <si>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</si>
  <si>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</si>
  <si>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Committed Cost</t>
  </si>
  <si>
    <t>Accrual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</si>
</sst>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[Red]\(#,##0\)"/>
  </numFmts>
  <fonts count="7" x14ac:knownFonts="1">
    <font>
      <sz val="11"/>
      <color rgb="FF000000"/>
      <name val="Calibri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4"/>
      <color rgb="FF000000"/>
      <name val="Times New Roman"/>
      <family val="1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right" vertical="center" indent="4"/>
    </xf>
    <xf numFmtId="0" fontId="2" fillId="2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 indent="6"/>
    </xf>
    <xf numFmtId="0" fontId="1" fillId="0" borderId="12" xfId="0" applyFont="1" applyBorder="1" applyAlignment="1">
      <alignment horizontal="left" vertical="center" indent="6"/>
    </xf>
    <xf numFmtId="0" fontId="1" fillId="0" borderId="13" xfId="0" applyFont="1" applyBorder="1" applyAlignment="1">
      <alignment horizontal="left" vertical="center" indent="6"/>
    </xf>
    <xf numFmtId="0" fontId="2" fillId="0" borderId="10" xfId="0" applyFont="1" applyBorder="1" applyAlignment="1">
      <alignment horizontal="left" vertical="center" indent="6"/>
    </xf>
    <xf numFmtId="0" fontId="2" fillId="2" borderId="10" xfId="0" applyFont="1" applyFill="1" applyBorder="1" applyAlignment="1">
      <alignment horizontal="left" vertical="center" indent="6"/>
    </xf>
    <xf numFmtId="0" fontId="2" fillId="2" borderId="11" xfId="0" applyFont="1" applyFill="1" applyBorder="1" applyAlignment="1">
      <alignment horizontal="left" vertical="center" indent="6"/>
    </xf>
    <xf numFmtId="0" fontId="2" fillId="2" borderId="14" xfId="0" applyFont="1" applyFill="1" applyBorder="1" applyAlignment="1">
      <alignment horizontal="left" vertical="center" indent="6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5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9" fontId="2" fillId="0" borderId="1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9" fontId="2" fillId="0" borderId="1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9" fontId="1" fillId="0" borderId="0" xfId="0" applyNumberFormat="1" applyFont="1" applyAlignment="1">
      <alignment vertical="center"/>
    </xf>
    <xf numFmtId="9" fontId="1" fillId="2" borderId="6" xfId="0" applyNumberFormat="1" applyFont="1" applyFill="1" applyBorder="1" applyAlignment="1">
      <alignment vertical="center"/>
    </xf>
    <xf numFmtId="9" fontId="2" fillId="2" borderId="4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Border="1" applyAlignment="1">
      <alignment vertical="center"/>
    </xf>
    <xf numFmtId="9" fontId="1" fillId="0" borderId="3" xfId="0" applyNumberFormat="1" applyFont="1" applyBorder="1" applyAlignment="1">
      <alignment vertical="center"/>
    </xf>
    <xf numFmtId="9" fontId="2" fillId="0" borderId="4" xfId="0" applyNumberFormat="1" applyFont="1" applyBorder="1" applyAlignment="1">
      <alignment vertical="center"/>
    </xf>
    <xf numFmtId="9" fontId="2" fillId="2" borderId="4" xfId="0" applyNumberFormat="1" applyFont="1" applyFill="1" applyBorder="1" applyAlignment="1">
      <alignment vertical="center"/>
    </xf>
    <xf numFmtId="9" fontId="2" fillId="2" borderId="1" xfId="0" applyNumberFormat="1" applyFont="1" applyFill="1" applyBorder="1" applyAlignment="1">
      <alignment vertical="center"/>
    </xf>
    <xf numFmtId="9" fontId="2" fillId="2" borderId="9" xfId="0" applyNumberFormat="1" applyFont="1" applyFill="1" applyBorder="1" applyAlignment="1">
      <alignment vertical="center"/>
    </xf>
    <xf numFmtId="176" fontId="1" fillId="0" borderId="2" xfId="0" applyNumberFormat="1" applyFont="1" applyBorder="1" applyAlignment="1">
      <alignment vertical="center"/>
    </xf>
    <xf numFmtId="176" fontId="1" fillId="0" borderId="17" xfId="0" applyNumberFormat="1" applyFont="1" applyBorder="1" applyAlignment="1">
      <alignment vertical="center"/>
    </xf>
    <xf numFmtId="176" fontId="1" fillId="0" borderId="3" xfId="0" applyNumberFormat="1" applyFont="1" applyBorder="1" applyAlignment="1">
      <alignment vertical="center"/>
    </xf>
    <xf numFmtId="176" fontId="1" fillId="0" borderId="18" xfId="0" applyNumberFormat="1" applyFont="1" applyBorder="1" applyAlignment="1">
      <alignment vertical="center"/>
    </xf>
    <xf numFmtId="176" fontId="2" fillId="0" borderId="4" xfId="0" applyNumberFormat="1" applyFont="1" applyBorder="1" applyAlignment="1">
      <alignment vertical="center"/>
    </xf>
    <xf numFmtId="176" fontId="2" fillId="0" borderId="8" xfId="0" applyNumberFormat="1" applyFont="1" applyBorder="1" applyAlignment="1">
      <alignment vertical="center"/>
    </xf>
    <xf numFmtId="176" fontId="2" fillId="2" borderId="4" xfId="0" applyNumberFormat="1" applyFont="1" applyFill="1" applyBorder="1" applyAlignment="1">
      <alignment vertical="center"/>
    </xf>
    <xf numFmtId="176" fontId="2" fillId="2" borderId="8" xfId="0" applyNumberFormat="1" applyFont="1" applyFill="1" applyBorder="1" applyAlignment="1">
      <alignment vertical="center"/>
    </xf>
    <xf numFmtId="176" fontId="2" fillId="2" borderId="1" xfId="0" applyNumberFormat="1" applyFont="1" applyFill="1" applyBorder="1" applyAlignment="1">
      <alignment vertical="center"/>
    </xf>
    <xf numFmtId="176" fontId="2" fillId="2" borderId="19" xfId="0" applyNumberFormat="1" applyFont="1" applyFill="1" applyBorder="1" applyAlignment="1">
      <alignment vertical="center"/>
    </xf>
    <xf numFmtId="176" fontId="2" fillId="2" borderId="9" xfId="0" applyNumberFormat="1" applyFont="1" applyFill="1" applyBorder="1" applyAlignment="1">
      <alignment vertical="center"/>
    </xf>
    <xf numFmtId="176" fontId="2" fillId="2" borderId="20" xfId="0" applyNumberFormat="1" applyFont="1" applyFill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176" fontId="1" fillId="0" borderId="19" xfId="0" applyNumberFormat="1" applyFont="1" applyBorder="1" applyAlignment="1">
      <alignment vertical="center"/>
    </xf>
    <xf numFmtId="10" fontId="1" fillId="0" borderId="0" xfId="0" applyNumberFormat="1" applyFont="1" applyAlignment="1">
      <alignment horizontal="left" vertical="center"/>
    </xf>
    <xf numFmtId="10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33"/>
  <sheetViews>
    <sheetView tabSelected="1" workbookViewId="0">
      <selection activeCell="G129" sqref="G129"/>
    </sheetView>
  </sheetViews>
  <sheetFormatPr defaultColWidth="14.28515625" defaultRowHeight="12.75" customHeight="1" x14ac:dyDescent="0.25"/>
  <cols>
    <col min="1" max="1" width="19.42578125" style="1" customWidth="1"/>
    <col min="2" max="2" width="42.85546875" style="1" customWidth="1"/>
    <col min="3" max="11" width="16" style="1" customWidth="1"/>
    <col min="12" max="12" width="16" style="33" customWidth="1"/>
    <col min="13" max="15" width="16" style="1" customWidth="1"/>
    <col min="16" max="16" width="16" style="33" customWidth="1"/>
    <col min="17" max="17" width="16" style="1" customWidth="1"/>
    <col min="18" max="18" width="14.28515625" style="1"/>
  </cols>
  <sheetData>
    <row r="1" spans="1:17" ht="12.75" customHeight="1" x14ac:dyDescent="0.25">
      <c r="A1" s="2" t="s">
        <v>0</v>
      </c>
      <c r="B1" s="14"/>
      <c r="C1" s="2"/>
      <c r="L1" s="1"/>
      <c r="P1" s="1"/>
    </row>
    <row r="2" spans="1:17" ht="12.75" customHeight="1" x14ac:dyDescent="0.25">
      <c r="A2" s="2"/>
      <c r="B2" s="14"/>
      <c r="C2" s="2"/>
      <c r="L2" s="1"/>
      <c r="P2" s="1"/>
      <c r="Q2" s="58" t="s">
        <v>1</v>
      </c>
    </row>
    <row r="3" spans="1:17" ht="12.75" customHeight="1" x14ac:dyDescent="0.25">
      <c r="A3" s="2" t="s">
        <v>2</v>
      </c>
      <c r="B3" s="14">
        <v>1130</v>
      </c>
      <c r="C3" s="2"/>
      <c r="L3" s="1"/>
      <c r="P3" s="1"/>
    </row>
    <row r="4" spans="1:17" ht="12.75" customHeight="1" x14ac:dyDescent="0.25">
      <c r="A4" s="2" t="s">
        <v>3</v>
      </c>
      <c r="B4" s="14" t="s">
        <v>4</v>
      </c>
      <c r="C4" s="2"/>
      <c r="L4" s="1"/>
      <c r="P4" s="1"/>
    </row>
    <row r="5" spans="1:17" ht="12.75" customHeight="1" x14ac:dyDescent="0.25">
      <c r="A5" s="2" t="s">
        <v>5</v>
      </c>
      <c r="B5" s="14" t="s">
        <v>6</v>
      </c>
      <c r="C5" s="2"/>
      <c r="L5" s="1"/>
      <c r="P5" s="1"/>
    </row>
    <row r="6" spans="1:17" ht="12.75" customHeight="1" x14ac:dyDescent="0.25">
      <c r="A6" s="2" t="s">
        <v>7</v>
      </c>
      <c r="B6" s="14" t="s">
        <v>8</v>
      </c>
      <c r="C6" s="2"/>
      <c r="G6" s="59" t="s">
        <v>9</v>
      </c>
      <c r="H6" s="59"/>
      <c r="I6" s="59"/>
      <c r="L6" s="1"/>
      <c r="P6" s="1"/>
    </row>
    <row r="7" spans="1:17" ht="12.75" customHeight="1" x14ac:dyDescent="0.25">
      <c r="A7" s="2" t="s">
        <v>10</v>
      </c>
      <c r="B7" s="14" t="s">
        <v>11</v>
      </c>
      <c r="C7" s="57">
        <f>IFERROR((B5-B6)/(LEFT(B7, FIND(REPT(" ", 32), B7))-B6), "")</f>
        <v>0.22442653440793553</v>
      </c>
      <c r="G7" s="59"/>
      <c r="H7" s="59"/>
      <c r="I7" s="59"/>
      <c r="L7" s="1"/>
      <c r="P7" s="67" t="s">
        <v>12</v>
      </c>
      <c r="Q7" s="67"/>
    </row>
    <row r="8" spans="1:17" ht="12.75" customHeight="1" x14ac:dyDescent="0.25">
      <c r="A8" s="2" t="s">
        <v>13</v>
      </c>
      <c r="B8" s="14" t="s">
        <v>14</v>
      </c>
      <c r="C8" s="57" t="str">
        <f>IFERROR((B5-B6)/(LEFT(B8, FIND(REPT(" ", 32), B8))-B6), "")</f>
        <v/>
      </c>
      <c r="L8" s="1"/>
      <c r="P8" s="67"/>
      <c r="Q8" s="67"/>
    </row>
    <row r="9" spans="1:17" ht="12.75" customHeight="1" x14ac:dyDescent="0.25">
      <c r="B9" s="56"/>
      <c r="L9" s="1"/>
      <c r="P9" s="1"/>
    </row>
    <row r="10" spans="1:17" ht="12.75" customHeight="1" x14ac:dyDescent="0.25">
      <c r="L10" s="1"/>
      <c r="P10" s="1"/>
    </row>
    <row r="11" spans="1:17" ht="25.5" customHeight="1" x14ac:dyDescent="0.25">
      <c r="A11" s="8" t="s">
        <v>15</v>
      </c>
      <c r="B11" s="9"/>
      <c r="C11" s="9"/>
      <c r="D11" s="9"/>
      <c r="E11" s="9"/>
      <c r="F11" s="9"/>
      <c r="G11" s="66" t="s">
        <v>16</v>
      </c>
      <c r="H11" s="66"/>
      <c r="I11" s="66"/>
      <c r="J11" s="9"/>
      <c r="K11" s="9"/>
      <c r="L11" s="34"/>
      <c r="M11" s="9"/>
      <c r="N11" s="9"/>
      <c r="O11" s="9"/>
      <c r="P11" s="34"/>
      <c r="Q11" s="10"/>
    </row>
    <row r="12" spans="1:17" ht="12.75" customHeight="1" x14ac:dyDescent="0.25">
      <c r="A12" s="68" t="s">
        <v>17</v>
      </c>
      <c r="B12" s="62" t="s">
        <v>18</v>
      </c>
      <c r="C12" s="60" t="s">
        <v>19</v>
      </c>
      <c r="D12" s="60"/>
      <c r="E12" s="60"/>
      <c r="F12" s="60"/>
      <c r="G12" s="62" t="s">
        <v>20</v>
      </c>
      <c r="H12" s="62" t="s">
        <v>21</v>
      </c>
      <c r="I12" s="62" t="s">
        <v>22</v>
      </c>
      <c r="J12" s="60" t="s">
        <v>23</v>
      </c>
      <c r="K12" s="60" t="s">
        <v>24</v>
      </c>
      <c r="L12" s="60"/>
      <c r="M12" s="60"/>
      <c r="N12" s="64" t="s">
        <v>25</v>
      </c>
      <c r="O12" s="60" t="s">
        <v>26</v>
      </c>
      <c r="P12" s="60"/>
      <c r="Q12" s="61"/>
    </row>
    <row r="13" spans="1:17" s="25" customFormat="1" ht="12.75" customHeight="1" x14ac:dyDescent="0.25">
      <c r="A13" s="69"/>
      <c r="B13" s="62"/>
      <c r="C13" s="62" t="s">
        <v>27</v>
      </c>
      <c r="D13" s="62" t="s">
        <v>28</v>
      </c>
      <c r="E13" s="62" t="s">
        <v>29</v>
      </c>
      <c r="F13" s="62" t="s">
        <v>30</v>
      </c>
      <c r="G13" s="62"/>
      <c r="H13" s="62"/>
      <c r="I13" s="62"/>
      <c r="J13" s="60"/>
      <c r="K13" s="60"/>
      <c r="L13" s="60"/>
      <c r="M13" s="60"/>
      <c r="N13" s="65"/>
      <c r="O13" s="62" t="s">
        <v>31</v>
      </c>
      <c r="P13" s="62"/>
      <c r="Q13" s="63" t="s">
        <v>32</v>
      </c>
    </row>
    <row r="14" spans="1:17" s="25" customFormat="1" ht="12.75" customHeight="1" x14ac:dyDescent="0.25">
      <c r="A14" s="70"/>
      <c r="B14" s="62"/>
      <c r="C14" s="62"/>
      <c r="D14" s="62"/>
      <c r="E14" s="62"/>
      <c r="F14" s="62"/>
      <c r="G14" s="62"/>
      <c r="H14" s="62"/>
      <c r="I14" s="62"/>
      <c r="J14" s="24" t="s">
        <v>33</v>
      </c>
      <c r="K14" s="24" t="s">
        <v>33</v>
      </c>
      <c r="L14" s="35" t="s">
        <v>34</v>
      </c>
      <c r="M14" s="24" t="s">
        <v>35</v>
      </c>
      <c r="N14" s="24" t="s">
        <v>33</v>
      </c>
      <c r="O14" s="24" t="s">
        <v>33</v>
      </c>
      <c r="P14" s="35" t="s">
        <v>34</v>
      </c>
      <c r="Q14" s="63"/>
    </row>
    <row r="15" spans="1:17" ht="12.75" customHeight="1" x14ac:dyDescent="0.25">
      <c r="A15" s="17"/>
      <c r="B15" s="3"/>
      <c r="C15" s="26" t="s">
        <v>36</v>
      </c>
      <c r="D15" s="27" t="s">
        <v>37</v>
      </c>
      <c r="E15" s="27" t="s">
        <v>38</v>
      </c>
      <c r="F15" s="27" t="s">
        <v>39</v>
      </c>
      <c r="G15" s="27"/>
      <c r="H15" s="27" t="s">
        <v>40</v>
      </c>
      <c r="I15" s="27" t="s">
        <v>41</v>
      </c>
      <c r="J15" s="27" t="s">
        <v>42</v>
      </c>
      <c r="K15" s="28" t="s">
        <v>43</v>
      </c>
      <c r="L15" s="29" t="s">
        <v>44</v>
      </c>
      <c r="M15" s="30" t="s">
        <v>45</v>
      </c>
      <c r="N15" s="30"/>
      <c r="O15" s="30" t="s">
        <v>46</v>
      </c>
      <c r="P15" s="31" t="s">
        <v>47</v>
      </c>
      <c r="Q15" s="32" t="s">
        <v>48</v>
      </c>
    </row>
    <row r="16" spans="1:17" ht="12.75" customHeight="1" x14ac:dyDescent="0.25">
      <c r="A16" s="18">
        <v>1</v>
      </c>
      <c r="B16" s="4" t="s">
        <v>49</v>
      </c>
      <c r="C16" s="42"/>
      <c r="D16" s="42"/>
      <c r="E16" s="42"/>
      <c r="F16" s="42"/>
      <c r="G16" s="42"/>
      <c r="H16" s="42"/>
      <c r="I16" s="42" t="str">
        <f t="shared" ref="I16:I47" si="0">IF(H16="", "", J16-H16)</f>
        <v/>
      </c>
      <c r="J16" s="42" t="str">
        <f>IF(ISBLANK(Projection!P13), "", Projection!P13)</f>
        <v/>
      </c>
      <c r="K16" s="42" t="str">
        <f>IF(ISBLANK('Committed Cost'!P13), "", 'Committed Cost'!P13)</f>
        <v/>
      </c>
      <c r="L16" s="36" t="str">
        <f t="shared" ref="L16:L47" si="1">IFERROR(IF(ISBLANK(F16), "", K16/F16), 0)</f>
        <v/>
      </c>
      <c r="M16" s="42" t="str">
        <f t="shared" ref="M16:M47" si="2">IF(F16="", "", F16-K16)</f>
        <v/>
      </c>
      <c r="N16" s="42" t="str">
        <f>IF(ISBLANK(Accrual!P13), "", Accrual!P13)</f>
        <v/>
      </c>
      <c r="O16" s="42" t="str">
        <f>IF(ISBLANK('Cash Flow'!P13), "",'Cash Flow'!P13)</f>
        <v/>
      </c>
      <c r="P16" s="36" t="str">
        <f t="shared" ref="P16:P47" si="3">IFERROR(IF(O16="", "", O16/K16), 0)</f>
        <v/>
      </c>
      <c r="Q16" s="43" t="str">
        <f t="shared" ref="Q16:Q47" si="4">IF(K16="", "", K16-O16)</f>
        <v/>
      </c>
    </row>
    <row r="17" spans="1:17" ht="12.75" customHeight="1" x14ac:dyDescent="0.25">
      <c r="A17" s="18">
        <v>1.1000000000000001</v>
      </c>
      <c r="B17" s="4" t="s">
        <v>50</v>
      </c>
      <c r="C17" s="42">
        <v>0</v>
      </c>
      <c r="D17" s="42">
        <v>0</v>
      </c>
      <c r="E17" s="42">
        <v>0</v>
      </c>
      <c r="F17" s="42">
        <f>D17+E17</f>
        <v>0</v>
      </c>
      <c r="G17" s="42">
        <v>630000</v>
      </c>
      <c r="H17" s="42">
        <v>630000</v>
      </c>
      <c r="I17" s="42">
        <f t="shared" si="0"/>
        <v>0</v>
      </c>
      <c r="J17" s="42">
        <f>IF(ISBLANK(Projection!P14), "", Projection!P14)</f>
        <v>630000</v>
      </c>
      <c r="K17" s="42">
        <f>IF(ISBLANK('Committed Cost'!P14), "", 'Committed Cost'!P14)</f>
        <v>630000</v>
      </c>
      <c r="L17" s="36">
        <f t="shared" si="1"/>
        <v>0</v>
      </c>
      <c r="M17" s="42">
        <f t="shared" si="2"/>
        <v>-630000</v>
      </c>
      <c r="N17" s="42">
        <f>IF(ISBLANK(Accrual!P14), "", Accrual!P14)</f>
        <v>132145</v>
      </c>
      <c r="O17" s="42">
        <f>IF(ISBLANK('Cash Flow'!P14), "",'Cash Flow'!P14)</f>
        <v>101532.52660000001</v>
      </c>
      <c r="P17" s="36">
        <f t="shared" si="3"/>
        <v>0.16116274063492064</v>
      </c>
      <c r="Q17" s="43">
        <f t="shared" si="4"/>
        <v>528467.47340000002</v>
      </c>
    </row>
    <row r="18" spans="1:17" ht="12.75" customHeight="1" x14ac:dyDescent="0.25">
      <c r="A18" s="18">
        <v>1.2</v>
      </c>
      <c r="B18" s="4" t="s">
        <v>51</v>
      </c>
      <c r="C18" s="42"/>
      <c r="D18" s="42"/>
      <c r="E18" s="42"/>
      <c r="F18" s="42"/>
      <c r="G18" s="42"/>
      <c r="H18" s="42"/>
      <c r="I18" s="42" t="str">
        <f t="shared" si="0"/>
        <v/>
      </c>
      <c r="J18" s="42" t="str">
        <f>IF(ISBLANK(Projection!P15), "", Projection!P15)</f>
        <v/>
      </c>
      <c r="K18" s="42" t="str">
        <f>IF(ISBLANK('Committed Cost'!P15), "", 'Committed Cost'!P15)</f>
        <v/>
      </c>
      <c r="L18" s="36" t="str">
        <f t="shared" si="1"/>
        <v/>
      </c>
      <c r="M18" s="42" t="str">
        <f t="shared" si="2"/>
        <v/>
      </c>
      <c r="N18" s="42" t="str">
        <f>IF(ISBLANK(Accrual!P15), "", Accrual!P15)</f>
        <v/>
      </c>
      <c r="O18" s="42" t="str">
        <f>IF(ISBLANK('Cash Flow'!P15), "",'Cash Flow'!P15)</f>
        <v/>
      </c>
      <c r="P18" s="36" t="str">
        <f t="shared" si="3"/>
        <v/>
      </c>
      <c r="Q18" s="43" t="str">
        <f t="shared" si="4"/>
        <v/>
      </c>
    </row>
    <row r="19" spans="1:17" ht="12.75" customHeight="1" x14ac:dyDescent="0.25">
      <c r="A19" s="18" t="s">
        <v>52</v>
      </c>
      <c r="B19" s="4" t="s">
        <v>53</v>
      </c>
      <c r="C19" s="42">
        <v>0</v>
      </c>
      <c r="D19" s="42">
        <v>0</v>
      </c>
      <c r="E19" s="42">
        <v>0</v>
      </c>
      <c r="F19" s="42">
        <f t="shared" ref="F19:F29" si="5">D19+E19</f>
        <v>0</v>
      </c>
      <c r="G19" s="42">
        <v>115776</v>
      </c>
      <c r="H19" s="42">
        <v>115776</v>
      </c>
      <c r="I19" s="42">
        <f t="shared" si="0"/>
        <v>0</v>
      </c>
      <c r="J19" s="42">
        <f>IF(ISBLANK(Projection!P16), "", Projection!P16)</f>
        <v>115776</v>
      </c>
      <c r="K19" s="42">
        <f>IF(ISBLANK('Committed Cost'!P16), "", 'Committed Cost'!P16)</f>
        <v>0</v>
      </c>
      <c r="L19" s="36">
        <f t="shared" si="1"/>
        <v>0</v>
      </c>
      <c r="M19" s="42">
        <f t="shared" si="2"/>
        <v>0</v>
      </c>
      <c r="N19" s="42">
        <f>IF(ISBLANK(Accrual!P16), "", Accrual!P16)</f>
        <v>0</v>
      </c>
      <c r="O19" s="42">
        <f>IF(ISBLANK('Cash Flow'!P16), "",'Cash Flow'!P16)</f>
        <v>0</v>
      </c>
      <c r="P19" s="36">
        <f t="shared" si="3"/>
        <v>0</v>
      </c>
      <c r="Q19" s="43">
        <f t="shared" si="4"/>
        <v>0</v>
      </c>
    </row>
    <row r="20" spans="1:17" ht="12.75" customHeight="1" x14ac:dyDescent="0.25">
      <c r="A20" s="18" t="s">
        <v>54</v>
      </c>
      <c r="B20" s="4" t="s">
        <v>55</v>
      </c>
      <c r="C20" s="42">
        <v>0</v>
      </c>
      <c r="D20" s="42">
        <v>0</v>
      </c>
      <c r="E20" s="42">
        <v>0</v>
      </c>
      <c r="F20" s="42">
        <f t="shared" si="5"/>
        <v>0</v>
      </c>
      <c r="G20" s="42">
        <v>28944</v>
      </c>
      <c r="H20" s="42">
        <v>28944</v>
      </c>
      <c r="I20" s="42">
        <f t="shared" si="0"/>
        <v>0</v>
      </c>
      <c r="J20" s="42">
        <f>IF(ISBLANK(Projection!P17), "", Projection!P17)</f>
        <v>28944</v>
      </c>
      <c r="K20" s="42">
        <f>IF(ISBLANK('Committed Cost'!P17), "", 'Committed Cost'!P17)</f>
        <v>0</v>
      </c>
      <c r="L20" s="36">
        <f t="shared" si="1"/>
        <v>0</v>
      </c>
      <c r="M20" s="42">
        <f t="shared" si="2"/>
        <v>0</v>
      </c>
      <c r="N20" s="42">
        <f>IF(ISBLANK(Accrual!P17), "", Accrual!P17)</f>
        <v>0</v>
      </c>
      <c r="O20" s="42">
        <f>IF(ISBLANK('Cash Flow'!P17), "",'Cash Flow'!P17)</f>
        <v>0</v>
      </c>
      <c r="P20" s="36">
        <f t="shared" si="3"/>
        <v>0</v>
      </c>
      <c r="Q20" s="43">
        <f t="shared" si="4"/>
        <v>0</v>
      </c>
    </row>
    <row r="21" spans="1:17" ht="12.75" customHeight="1" x14ac:dyDescent="0.25">
      <c r="A21" s="18">
        <v>1.3</v>
      </c>
      <c r="B21" s="4" t="s">
        <v>56</v>
      </c>
      <c r="C21" s="42">
        <v>0</v>
      </c>
      <c r="D21" s="42">
        <v>0</v>
      </c>
      <c r="E21" s="42">
        <v>0</v>
      </c>
      <c r="F21" s="42">
        <f t="shared" si="5"/>
        <v>0</v>
      </c>
      <c r="G21" s="42">
        <v>6910</v>
      </c>
      <c r="H21" s="42">
        <v>6910</v>
      </c>
      <c r="I21" s="42">
        <f t="shared" si="0"/>
        <v>0</v>
      </c>
      <c r="J21" s="42">
        <f>IF(ISBLANK(Projection!P18), "", Projection!P18)</f>
        <v>6910</v>
      </c>
      <c r="K21" s="42">
        <f>IF(ISBLANK('Committed Cost'!P18), "", 'Committed Cost'!P18)</f>
        <v>352</v>
      </c>
      <c r="L21" s="36">
        <f t="shared" si="1"/>
        <v>0</v>
      </c>
      <c r="M21" s="42">
        <f t="shared" si="2"/>
        <v>-352</v>
      </c>
      <c r="N21" s="42">
        <f>IF(ISBLANK(Accrual!P18), "", Accrual!P18)</f>
        <v>352</v>
      </c>
      <c r="O21" s="42">
        <f>IF(ISBLANK('Cash Flow'!P18), "",'Cash Flow'!P18)</f>
        <v>0</v>
      </c>
      <c r="P21" s="36">
        <f t="shared" si="3"/>
        <v>0</v>
      </c>
      <c r="Q21" s="43">
        <f t="shared" si="4"/>
        <v>352</v>
      </c>
    </row>
    <row r="22" spans="1:17" ht="12.75" hidden="1" customHeight="1" x14ac:dyDescent="0.25">
      <c r="A22" s="18">
        <v>1.4</v>
      </c>
      <c r="B22" s="4" t="s">
        <v>57</v>
      </c>
      <c r="C22" s="42">
        <v>0</v>
      </c>
      <c r="D22" s="42">
        <v>0</v>
      </c>
      <c r="E22" s="42">
        <v>0</v>
      </c>
      <c r="F22" s="42">
        <f t="shared" si="5"/>
        <v>0</v>
      </c>
      <c r="G22" s="42">
        <v>0</v>
      </c>
      <c r="H22" s="42">
        <v>0</v>
      </c>
      <c r="I22" s="42">
        <f t="shared" si="0"/>
        <v>0</v>
      </c>
      <c r="J22" s="42">
        <f>IF(ISBLANK(Projection!P19), "", Projection!P19)</f>
        <v>0</v>
      </c>
      <c r="K22" s="42">
        <f>IF(ISBLANK('Committed Cost'!P19), "", 'Committed Cost'!P19)</f>
        <v>0</v>
      </c>
      <c r="L22" s="36">
        <f t="shared" si="1"/>
        <v>0</v>
      </c>
      <c r="M22" s="42">
        <f t="shared" si="2"/>
        <v>0</v>
      </c>
      <c r="N22" s="42">
        <f>IF(ISBLANK(Accrual!P19), "", Accrual!P19)</f>
        <v>0</v>
      </c>
      <c r="O22" s="42">
        <f>IF(ISBLANK('Cash Flow'!P19), "",'Cash Flow'!P19)</f>
        <v>0</v>
      </c>
      <c r="P22" s="36">
        <f t="shared" si="3"/>
        <v>0</v>
      </c>
      <c r="Q22" s="43">
        <f t="shared" si="4"/>
        <v>0</v>
      </c>
    </row>
    <row r="23" spans="1:17" ht="12.75" hidden="1" customHeight="1" x14ac:dyDescent="0.25">
      <c r="A23" s="18">
        <v>1.5</v>
      </c>
      <c r="B23" s="4" t="s">
        <v>58</v>
      </c>
      <c r="C23" s="42">
        <v>0</v>
      </c>
      <c r="D23" s="42">
        <v>0</v>
      </c>
      <c r="E23" s="42">
        <v>0</v>
      </c>
      <c r="F23" s="42">
        <f t="shared" si="5"/>
        <v>0</v>
      </c>
      <c r="G23" s="42">
        <v>0</v>
      </c>
      <c r="H23" s="42">
        <v>0</v>
      </c>
      <c r="I23" s="42">
        <f t="shared" si="0"/>
        <v>0</v>
      </c>
      <c r="J23" s="42">
        <f>IF(ISBLANK(Projection!P20), "", Projection!P20)</f>
        <v>0</v>
      </c>
      <c r="K23" s="42">
        <f>IF(ISBLANK('Committed Cost'!P20), "", 'Committed Cost'!P20)</f>
        <v>0</v>
      </c>
      <c r="L23" s="36">
        <f t="shared" si="1"/>
        <v>0</v>
      </c>
      <c r="M23" s="42">
        <f t="shared" si="2"/>
        <v>0</v>
      </c>
      <c r="N23" s="42">
        <f>IF(ISBLANK(Accrual!P20), "", Accrual!P20)</f>
        <v>0</v>
      </c>
      <c r="O23" s="42">
        <f>IF(ISBLANK('Cash Flow'!P20), "",'Cash Flow'!P20)</f>
        <v>0</v>
      </c>
      <c r="P23" s="36">
        <f t="shared" si="3"/>
        <v>0</v>
      </c>
      <c r="Q23" s="43">
        <f t="shared" si="4"/>
        <v>0</v>
      </c>
    </row>
    <row r="24" spans="1:17" ht="12.75" hidden="1" customHeight="1" x14ac:dyDescent="0.25">
      <c r="A24" s="18">
        <v>1.6</v>
      </c>
      <c r="B24" s="4" t="s">
        <v>59</v>
      </c>
      <c r="C24" s="42">
        <v>0</v>
      </c>
      <c r="D24" s="42">
        <v>0</v>
      </c>
      <c r="E24" s="42">
        <v>0</v>
      </c>
      <c r="F24" s="42">
        <f t="shared" si="5"/>
        <v>0</v>
      </c>
      <c r="G24" s="42">
        <v>0</v>
      </c>
      <c r="H24" s="42">
        <v>0</v>
      </c>
      <c r="I24" s="42">
        <f t="shared" si="0"/>
        <v>0</v>
      </c>
      <c r="J24" s="42">
        <f>IF(ISBLANK(Projection!P21), "", Projection!P21)</f>
        <v>0</v>
      </c>
      <c r="K24" s="42">
        <f>IF(ISBLANK('Committed Cost'!P21), "", 'Committed Cost'!P21)</f>
        <v>0</v>
      </c>
      <c r="L24" s="36">
        <f t="shared" si="1"/>
        <v>0</v>
      </c>
      <c r="M24" s="42">
        <f t="shared" si="2"/>
        <v>0</v>
      </c>
      <c r="N24" s="42">
        <f>IF(ISBLANK(Accrual!P21), "", Accrual!P21)</f>
        <v>0</v>
      </c>
      <c r="O24" s="42">
        <f>IF(ISBLANK('Cash Flow'!P21), "",'Cash Flow'!P21)</f>
        <v>0</v>
      </c>
      <c r="P24" s="36">
        <f t="shared" si="3"/>
        <v>0</v>
      </c>
      <c r="Q24" s="43">
        <f t="shared" si="4"/>
        <v>0</v>
      </c>
    </row>
    <row r="25" spans="1:17" ht="12.75" hidden="1" customHeight="1" x14ac:dyDescent="0.25">
      <c r="A25" s="18">
        <v>1.7</v>
      </c>
      <c r="B25" s="4" t="s">
        <v>60</v>
      </c>
      <c r="C25" s="42">
        <v>0</v>
      </c>
      <c r="D25" s="42">
        <v>0</v>
      </c>
      <c r="E25" s="42">
        <v>0</v>
      </c>
      <c r="F25" s="42">
        <f t="shared" si="5"/>
        <v>0</v>
      </c>
      <c r="G25" s="42">
        <v>0</v>
      </c>
      <c r="H25" s="42">
        <v>0</v>
      </c>
      <c r="I25" s="42">
        <f t="shared" si="0"/>
        <v>0</v>
      </c>
      <c r="J25" s="42">
        <f>IF(ISBLANK(Projection!P22), "", Projection!P22)</f>
        <v>0</v>
      </c>
      <c r="K25" s="42">
        <f>IF(ISBLANK('Committed Cost'!P22), "", 'Committed Cost'!P22)</f>
        <v>0</v>
      </c>
      <c r="L25" s="36">
        <f t="shared" si="1"/>
        <v>0</v>
      </c>
      <c r="M25" s="42">
        <f t="shared" si="2"/>
        <v>0</v>
      </c>
      <c r="N25" s="42">
        <f>IF(ISBLANK(Accrual!P22), "", Accrual!P22)</f>
        <v>0</v>
      </c>
      <c r="O25" s="42">
        <f>IF(ISBLANK('Cash Flow'!P22), "",'Cash Flow'!P22)</f>
        <v>0</v>
      </c>
      <c r="P25" s="36">
        <f t="shared" si="3"/>
        <v>0</v>
      </c>
      <c r="Q25" s="43">
        <f t="shared" si="4"/>
        <v>0</v>
      </c>
    </row>
    <row r="26" spans="1:17" ht="12.75" customHeight="1" x14ac:dyDescent="0.25">
      <c r="A26" s="18">
        <v>1.8</v>
      </c>
      <c r="B26" s="4" t="s">
        <v>61</v>
      </c>
      <c r="C26" s="42">
        <v>0</v>
      </c>
      <c r="D26" s="42">
        <v>0</v>
      </c>
      <c r="E26" s="42">
        <v>0</v>
      </c>
      <c r="F26" s="42">
        <f t="shared" si="5"/>
        <v>0</v>
      </c>
      <c r="G26" s="42">
        <v>43296</v>
      </c>
      <c r="H26" s="42">
        <v>43296</v>
      </c>
      <c r="I26" s="42">
        <f t="shared" si="0"/>
        <v>0</v>
      </c>
      <c r="J26" s="42">
        <f>IF(ISBLANK(Projection!P23), "", Projection!P23)</f>
        <v>43296</v>
      </c>
      <c r="K26" s="42">
        <f>IF(ISBLANK('Committed Cost'!P23), "", 'Committed Cost'!P23)</f>
        <v>-1138</v>
      </c>
      <c r="L26" s="36">
        <f t="shared" si="1"/>
        <v>0</v>
      </c>
      <c r="M26" s="42">
        <f t="shared" si="2"/>
        <v>1138</v>
      </c>
      <c r="N26" s="42">
        <f>IF(ISBLANK(Accrual!P23), "", Accrual!P23)</f>
        <v>0</v>
      </c>
      <c r="O26" s="42">
        <f>IF(ISBLANK('Cash Flow'!P23), "",'Cash Flow'!P23)</f>
        <v>0</v>
      </c>
      <c r="P26" s="36">
        <f t="shared" si="3"/>
        <v>0</v>
      </c>
      <c r="Q26" s="43">
        <f t="shared" si="4"/>
        <v>-1138</v>
      </c>
    </row>
    <row r="27" spans="1:17" ht="12.75" hidden="1" customHeight="1" x14ac:dyDescent="0.25">
      <c r="A27" s="18">
        <v>1.9</v>
      </c>
      <c r="B27" s="4" t="s">
        <v>62</v>
      </c>
      <c r="C27" s="42">
        <v>0</v>
      </c>
      <c r="D27" s="42">
        <v>0</v>
      </c>
      <c r="E27" s="42">
        <v>0</v>
      </c>
      <c r="F27" s="42">
        <f t="shared" si="5"/>
        <v>0</v>
      </c>
      <c r="G27" s="42">
        <v>0</v>
      </c>
      <c r="H27" s="42">
        <v>0</v>
      </c>
      <c r="I27" s="42">
        <f t="shared" si="0"/>
        <v>0</v>
      </c>
      <c r="J27" s="42">
        <f>IF(ISBLANK(Projection!P24), "", Projection!P24)</f>
        <v>0</v>
      </c>
      <c r="K27" s="42">
        <f>IF(ISBLANK('Committed Cost'!P24), "", 'Committed Cost'!P24)</f>
        <v>0</v>
      </c>
      <c r="L27" s="36">
        <f t="shared" si="1"/>
        <v>0</v>
      </c>
      <c r="M27" s="42">
        <f t="shared" si="2"/>
        <v>0</v>
      </c>
      <c r="N27" s="42">
        <f>IF(ISBLANK(Accrual!P24), "", Accrual!P24)</f>
        <v>0</v>
      </c>
      <c r="O27" s="42">
        <f>IF(ISBLANK('Cash Flow'!P24), "",'Cash Flow'!P24)</f>
        <v>0</v>
      </c>
      <c r="P27" s="36">
        <f t="shared" si="3"/>
        <v>0</v>
      </c>
      <c r="Q27" s="43">
        <f t="shared" si="4"/>
        <v>0</v>
      </c>
    </row>
    <row r="28" spans="1:17" ht="12.75" hidden="1" customHeight="1" x14ac:dyDescent="0.25">
      <c r="A28" s="18" t="s">
        <v>63</v>
      </c>
      <c r="B28" s="4" t="s">
        <v>64</v>
      </c>
      <c r="C28" s="42">
        <v>0</v>
      </c>
      <c r="D28" s="42">
        <v>0</v>
      </c>
      <c r="E28" s="42">
        <v>0</v>
      </c>
      <c r="F28" s="42">
        <f t="shared" si="5"/>
        <v>0</v>
      </c>
      <c r="G28" s="42">
        <v>0</v>
      </c>
      <c r="H28" s="42">
        <v>0</v>
      </c>
      <c r="I28" s="42">
        <f t="shared" si="0"/>
        <v>0</v>
      </c>
      <c r="J28" s="42">
        <f>IF(ISBLANK(Projection!P25), "", Projection!P25)</f>
        <v>0</v>
      </c>
      <c r="K28" s="42">
        <f>IF(ISBLANK('Committed Cost'!P25), "", 'Committed Cost'!P25)</f>
        <v>0</v>
      </c>
      <c r="L28" s="36">
        <f t="shared" si="1"/>
        <v>0</v>
      </c>
      <c r="M28" s="42">
        <f t="shared" si="2"/>
        <v>0</v>
      </c>
      <c r="N28" s="42">
        <f>IF(ISBLANK(Accrual!P25), "", Accrual!P25)</f>
        <v>0</v>
      </c>
      <c r="O28" s="42">
        <f>IF(ISBLANK('Cash Flow'!P25), "",'Cash Flow'!P25)</f>
        <v>0</v>
      </c>
      <c r="P28" s="36">
        <f t="shared" si="3"/>
        <v>0</v>
      </c>
      <c r="Q28" s="43">
        <f t="shared" si="4"/>
        <v>0</v>
      </c>
    </row>
    <row r="29" spans="1:17" ht="12.75" hidden="1" customHeight="1" x14ac:dyDescent="0.25">
      <c r="A29" s="18">
        <v>1.1100000000000001</v>
      </c>
      <c r="B29" s="4" t="s">
        <v>65</v>
      </c>
      <c r="C29" s="42">
        <v>0</v>
      </c>
      <c r="D29" s="42">
        <v>0</v>
      </c>
      <c r="E29" s="42">
        <v>0</v>
      </c>
      <c r="F29" s="42">
        <f t="shared" si="5"/>
        <v>0</v>
      </c>
      <c r="G29" s="42">
        <v>0</v>
      </c>
      <c r="H29" s="42">
        <v>0</v>
      </c>
      <c r="I29" s="42">
        <f t="shared" si="0"/>
        <v>0</v>
      </c>
      <c r="J29" s="42">
        <f>IF(ISBLANK(Projection!P26), "", Projection!P26)</f>
        <v>0</v>
      </c>
      <c r="K29" s="42">
        <f>IF(ISBLANK('Committed Cost'!P26), "", 'Committed Cost'!P26)</f>
        <v>0</v>
      </c>
      <c r="L29" s="36">
        <f t="shared" si="1"/>
        <v>0</v>
      </c>
      <c r="M29" s="42">
        <f t="shared" si="2"/>
        <v>0</v>
      </c>
      <c r="N29" s="42">
        <f>IF(ISBLANK(Accrual!P26), "", Accrual!P26)</f>
        <v>0</v>
      </c>
      <c r="O29" s="42">
        <f>IF(ISBLANK('Cash Flow'!P26), "",'Cash Flow'!P26)</f>
        <v>0</v>
      </c>
      <c r="P29" s="36">
        <f t="shared" si="3"/>
        <v>0</v>
      </c>
      <c r="Q29" s="43">
        <f t="shared" si="4"/>
        <v>0</v>
      </c>
    </row>
    <row r="30" spans="1:17" ht="12.75" customHeight="1" x14ac:dyDescent="0.25">
      <c r="A30" s="18">
        <v>1.1200000000000001</v>
      </c>
      <c r="B30" s="4" t="s">
        <v>66</v>
      </c>
      <c r="C30" s="42"/>
      <c r="D30" s="42"/>
      <c r="E30" s="42"/>
      <c r="F30" s="42"/>
      <c r="G30" s="42"/>
      <c r="H30" s="42"/>
      <c r="I30" s="42" t="str">
        <f t="shared" si="0"/>
        <v/>
      </c>
      <c r="J30" s="42" t="str">
        <f>IF(ISBLANK(Projection!P27), "", Projection!P27)</f>
        <v/>
      </c>
      <c r="K30" s="42" t="str">
        <f>IF(ISBLANK('Committed Cost'!P27), "", 'Committed Cost'!P27)</f>
        <v/>
      </c>
      <c r="L30" s="36" t="str">
        <f t="shared" si="1"/>
        <v/>
      </c>
      <c r="M30" s="42" t="str">
        <f t="shared" si="2"/>
        <v/>
      </c>
      <c r="N30" s="42" t="str">
        <f>IF(ISBLANK(Accrual!P27), "", Accrual!P27)</f>
        <v/>
      </c>
      <c r="O30" s="42" t="str">
        <f>IF(ISBLANK('Cash Flow'!P27), "",'Cash Flow'!P27)</f>
        <v/>
      </c>
      <c r="P30" s="36" t="str">
        <f t="shared" si="3"/>
        <v/>
      </c>
      <c r="Q30" s="43" t="str">
        <f t="shared" si="4"/>
        <v/>
      </c>
    </row>
    <row r="31" spans="1:17" ht="12.75" hidden="1" customHeight="1" x14ac:dyDescent="0.25">
      <c r="A31" s="18" t="s">
        <v>67</v>
      </c>
      <c r="B31" s="4" t="s">
        <v>68</v>
      </c>
      <c r="C31" s="42">
        <v>0</v>
      </c>
      <c r="D31" s="42">
        <v>0</v>
      </c>
      <c r="E31" s="42">
        <v>0</v>
      </c>
      <c r="F31" s="42">
        <f t="shared" ref="F31:F37" si="6">D31+E31</f>
        <v>0</v>
      </c>
      <c r="G31" s="42">
        <v>0</v>
      </c>
      <c r="H31" s="42">
        <v>0</v>
      </c>
      <c r="I31" s="42">
        <f t="shared" si="0"/>
        <v>0</v>
      </c>
      <c r="J31" s="42">
        <f>IF(ISBLANK(Projection!P28), "", Projection!P28)</f>
        <v>0</v>
      </c>
      <c r="K31" s="42">
        <f>IF(ISBLANK('Committed Cost'!P28), "", 'Committed Cost'!P28)</f>
        <v>0</v>
      </c>
      <c r="L31" s="36">
        <f t="shared" si="1"/>
        <v>0</v>
      </c>
      <c r="M31" s="42">
        <f t="shared" si="2"/>
        <v>0</v>
      </c>
      <c r="N31" s="42">
        <f>IF(ISBLANK(Accrual!P28), "", Accrual!P28)</f>
        <v>0</v>
      </c>
      <c r="O31" s="42">
        <f>IF(ISBLANK('Cash Flow'!P28), "",'Cash Flow'!P28)</f>
        <v>0</v>
      </c>
      <c r="P31" s="36">
        <f t="shared" si="3"/>
        <v>0</v>
      </c>
      <c r="Q31" s="43">
        <f t="shared" si="4"/>
        <v>0</v>
      </c>
    </row>
    <row r="32" spans="1:17" ht="12.75" customHeight="1" x14ac:dyDescent="0.25">
      <c r="A32" s="18" t="s">
        <v>69</v>
      </c>
      <c r="B32" s="4" t="s">
        <v>70</v>
      </c>
      <c r="C32" s="42">
        <v>0</v>
      </c>
      <c r="D32" s="42">
        <v>0</v>
      </c>
      <c r="E32" s="42">
        <v>0</v>
      </c>
      <c r="F32" s="42">
        <f t="shared" si="6"/>
        <v>0</v>
      </c>
      <c r="G32" s="42">
        <v>40901</v>
      </c>
      <c r="H32" s="42">
        <v>40901</v>
      </c>
      <c r="I32" s="42">
        <f t="shared" si="0"/>
        <v>0</v>
      </c>
      <c r="J32" s="42">
        <f>IF(ISBLANK(Projection!P29), "", Projection!P29)</f>
        <v>40901</v>
      </c>
      <c r="K32" s="42">
        <f>IF(ISBLANK('Committed Cost'!P29), "", 'Committed Cost'!P29)</f>
        <v>0</v>
      </c>
      <c r="L32" s="36">
        <f t="shared" si="1"/>
        <v>0</v>
      </c>
      <c r="M32" s="42">
        <f t="shared" si="2"/>
        <v>0</v>
      </c>
      <c r="N32" s="42">
        <f>IF(ISBLANK(Accrual!P29), "", Accrual!P29)</f>
        <v>0</v>
      </c>
      <c r="O32" s="42">
        <f>IF(ISBLANK('Cash Flow'!P29), "",'Cash Flow'!P29)</f>
        <v>0</v>
      </c>
      <c r="P32" s="36">
        <f t="shared" si="3"/>
        <v>0</v>
      </c>
      <c r="Q32" s="43">
        <f t="shared" si="4"/>
        <v>0</v>
      </c>
    </row>
    <row r="33" spans="1:17" ht="12.75" hidden="1" customHeight="1" x14ac:dyDescent="0.25">
      <c r="A33" s="18" t="s">
        <v>71</v>
      </c>
      <c r="B33" s="4" t="s">
        <v>72</v>
      </c>
      <c r="C33" s="42">
        <v>0</v>
      </c>
      <c r="D33" s="42">
        <v>0</v>
      </c>
      <c r="E33" s="42">
        <v>0</v>
      </c>
      <c r="F33" s="42">
        <f t="shared" si="6"/>
        <v>0</v>
      </c>
      <c r="G33" s="42">
        <v>0</v>
      </c>
      <c r="H33" s="42">
        <v>0</v>
      </c>
      <c r="I33" s="42">
        <f t="shared" si="0"/>
        <v>0</v>
      </c>
      <c r="J33" s="42">
        <f>IF(ISBLANK(Projection!P30), "", Projection!P30)</f>
        <v>0</v>
      </c>
      <c r="K33" s="42">
        <f>IF(ISBLANK('Committed Cost'!P30), "", 'Committed Cost'!P30)</f>
        <v>0</v>
      </c>
      <c r="L33" s="36">
        <f t="shared" si="1"/>
        <v>0</v>
      </c>
      <c r="M33" s="42">
        <f t="shared" si="2"/>
        <v>0</v>
      </c>
      <c r="N33" s="42">
        <f>IF(ISBLANK(Accrual!P30), "", Accrual!P30)</f>
        <v>0</v>
      </c>
      <c r="O33" s="42">
        <f>IF(ISBLANK('Cash Flow'!P30), "",'Cash Flow'!P30)</f>
        <v>0</v>
      </c>
      <c r="P33" s="36">
        <f t="shared" si="3"/>
        <v>0</v>
      </c>
      <c r="Q33" s="43">
        <f t="shared" si="4"/>
        <v>0</v>
      </c>
    </row>
    <row r="34" spans="1:17" ht="12.75" hidden="1" customHeight="1" x14ac:dyDescent="0.25">
      <c r="A34" s="18">
        <v>1.1299999999999999</v>
      </c>
      <c r="B34" s="4" t="s">
        <v>73</v>
      </c>
      <c r="C34" s="42">
        <v>0</v>
      </c>
      <c r="D34" s="42">
        <v>0</v>
      </c>
      <c r="E34" s="42">
        <v>0</v>
      </c>
      <c r="F34" s="42">
        <f t="shared" si="6"/>
        <v>0</v>
      </c>
      <c r="G34" s="42">
        <v>0</v>
      </c>
      <c r="H34" s="42">
        <v>0</v>
      </c>
      <c r="I34" s="42">
        <f t="shared" si="0"/>
        <v>0</v>
      </c>
      <c r="J34" s="42">
        <f>IF(ISBLANK(Projection!P31), "", Projection!P31)</f>
        <v>0</v>
      </c>
      <c r="K34" s="42">
        <f>IF(ISBLANK('Committed Cost'!P31), "", 'Committed Cost'!P31)</f>
        <v>0</v>
      </c>
      <c r="L34" s="36">
        <f t="shared" si="1"/>
        <v>0</v>
      </c>
      <c r="M34" s="42">
        <f t="shared" si="2"/>
        <v>0</v>
      </c>
      <c r="N34" s="42">
        <f>IF(ISBLANK(Accrual!P31), "", Accrual!P31)</f>
        <v>0</v>
      </c>
      <c r="O34" s="42">
        <f>IF(ISBLANK('Cash Flow'!P31), "",'Cash Flow'!P31)</f>
        <v>0</v>
      </c>
      <c r="P34" s="36">
        <f t="shared" si="3"/>
        <v>0</v>
      </c>
      <c r="Q34" s="43">
        <f t="shared" si="4"/>
        <v>0</v>
      </c>
    </row>
    <row r="35" spans="1:17" ht="12.75" customHeight="1" x14ac:dyDescent="0.25">
      <c r="A35" s="18">
        <v>1.1399999999999999</v>
      </c>
      <c r="B35" s="4" t="s">
        <v>74</v>
      </c>
      <c r="C35" s="42">
        <v>0</v>
      </c>
      <c r="D35" s="42">
        <v>0</v>
      </c>
      <c r="E35" s="42">
        <v>0</v>
      </c>
      <c r="F35" s="42">
        <f t="shared" si="6"/>
        <v>0</v>
      </c>
      <c r="G35" s="42">
        <v>0</v>
      </c>
      <c r="H35" s="42">
        <v>0</v>
      </c>
      <c r="I35" s="42">
        <f t="shared" si="0"/>
        <v>0</v>
      </c>
      <c r="J35" s="42">
        <f>IF(ISBLANK(Projection!P32), "", Projection!P32)</f>
        <v>0</v>
      </c>
      <c r="K35" s="42">
        <f>IF(ISBLANK('Committed Cost'!P32), "", 'Committed Cost'!P32)</f>
        <v>0</v>
      </c>
      <c r="L35" s="36">
        <f t="shared" si="1"/>
        <v>0</v>
      </c>
      <c r="M35" s="42">
        <f t="shared" si="2"/>
        <v>0</v>
      </c>
      <c r="N35" s="42">
        <f>IF(ISBLANK(Accrual!P32), "", Accrual!P32)</f>
        <v>0</v>
      </c>
      <c r="O35" s="42">
        <f>IF(ISBLANK('Cash Flow'!P32), "",'Cash Flow'!P32)</f>
        <v>-1117.05323</v>
      </c>
      <c r="P35" s="36">
        <f t="shared" si="3"/>
        <v>0</v>
      </c>
      <c r="Q35" s="43">
        <f t="shared" si="4"/>
        <v>1117.05323</v>
      </c>
    </row>
    <row r="36" spans="1:17" ht="12.75" hidden="1" customHeight="1" x14ac:dyDescent="0.25">
      <c r="A36" s="18">
        <v>1.1499999999999999</v>
      </c>
      <c r="B36" s="4" t="s">
        <v>75</v>
      </c>
      <c r="C36" s="42">
        <v>0</v>
      </c>
      <c r="D36" s="42">
        <v>0</v>
      </c>
      <c r="E36" s="42">
        <v>0</v>
      </c>
      <c r="F36" s="42">
        <f t="shared" si="6"/>
        <v>0</v>
      </c>
      <c r="G36" s="42">
        <v>0</v>
      </c>
      <c r="H36" s="42">
        <v>0</v>
      </c>
      <c r="I36" s="42">
        <f t="shared" si="0"/>
        <v>0</v>
      </c>
      <c r="J36" s="42">
        <f>IF(ISBLANK(Projection!P33), "", Projection!P33)</f>
        <v>0</v>
      </c>
      <c r="K36" s="42">
        <f>IF(ISBLANK('Committed Cost'!P33), "", 'Committed Cost'!P33)</f>
        <v>0</v>
      </c>
      <c r="L36" s="36">
        <f t="shared" si="1"/>
        <v>0</v>
      </c>
      <c r="M36" s="42">
        <f t="shared" si="2"/>
        <v>0</v>
      </c>
      <c r="N36" s="42">
        <f>IF(ISBLANK(Accrual!P33), "", Accrual!P33)</f>
        <v>0</v>
      </c>
      <c r="O36" s="42">
        <f>IF(ISBLANK('Cash Flow'!P33), "",'Cash Flow'!P33)</f>
        <v>0</v>
      </c>
      <c r="P36" s="36">
        <f t="shared" si="3"/>
        <v>0</v>
      </c>
      <c r="Q36" s="43">
        <f t="shared" si="4"/>
        <v>0</v>
      </c>
    </row>
    <row r="37" spans="1:17" ht="12.75" hidden="1" customHeight="1" x14ac:dyDescent="0.25">
      <c r="A37" s="18">
        <v>1.1599999999999999</v>
      </c>
      <c r="B37" s="4" t="s">
        <v>76</v>
      </c>
      <c r="C37" s="42">
        <v>0</v>
      </c>
      <c r="D37" s="42">
        <v>0</v>
      </c>
      <c r="E37" s="42">
        <v>0</v>
      </c>
      <c r="F37" s="42">
        <f t="shared" si="6"/>
        <v>0</v>
      </c>
      <c r="G37" s="42">
        <v>0</v>
      </c>
      <c r="H37" s="42">
        <v>0</v>
      </c>
      <c r="I37" s="42">
        <f t="shared" si="0"/>
        <v>0</v>
      </c>
      <c r="J37" s="42">
        <f>IF(ISBLANK(Projection!P34), "", Projection!P34)</f>
        <v>0</v>
      </c>
      <c r="K37" s="42">
        <f>IF(ISBLANK('Committed Cost'!P34), "", 'Committed Cost'!P34)</f>
        <v>0</v>
      </c>
      <c r="L37" s="36">
        <f t="shared" si="1"/>
        <v>0</v>
      </c>
      <c r="M37" s="42">
        <f t="shared" si="2"/>
        <v>0</v>
      </c>
      <c r="N37" s="42">
        <f>IF(ISBLANK(Accrual!P34), "", Accrual!P34)</f>
        <v>0</v>
      </c>
      <c r="O37" s="42">
        <f>IF(ISBLANK('Cash Flow'!P34), "",'Cash Flow'!P34)</f>
        <v>0</v>
      </c>
      <c r="P37" s="36">
        <f t="shared" si="3"/>
        <v>0</v>
      </c>
      <c r="Q37" s="43">
        <f t="shared" si="4"/>
        <v>0</v>
      </c>
    </row>
    <row r="38" spans="1:17" ht="12.75" customHeight="1" x14ac:dyDescent="0.25">
      <c r="A38" s="19">
        <v>1.17</v>
      </c>
      <c r="B38" s="5" t="s">
        <v>77</v>
      </c>
      <c r="C38" s="44">
        <v>0</v>
      </c>
      <c r="D38" s="44">
        <v>0</v>
      </c>
      <c r="E38" s="44">
        <v>0</v>
      </c>
      <c r="F38" s="44">
        <v>0</v>
      </c>
      <c r="G38" s="44">
        <v>0</v>
      </c>
      <c r="H38" s="44">
        <v>0</v>
      </c>
      <c r="I38" s="44">
        <f t="shared" si="0"/>
        <v>0</v>
      </c>
      <c r="J38" s="44">
        <f>IF(ISBLANK(Projection!P35), "", Projection!P35)</f>
        <v>0</v>
      </c>
      <c r="K38" s="44">
        <f>IF(ISBLANK('Committed Cost'!P35), "", 'Committed Cost'!P35)</f>
        <v>0</v>
      </c>
      <c r="L38" s="37">
        <f t="shared" si="1"/>
        <v>0</v>
      </c>
      <c r="M38" s="44">
        <f t="shared" si="2"/>
        <v>0</v>
      </c>
      <c r="N38" s="44">
        <f>IF(ISBLANK(Accrual!P35), "", Accrual!P35)</f>
        <v>0</v>
      </c>
      <c r="O38" s="44">
        <f>IF(ISBLANK('Cash Flow'!P35), "",'Cash Flow'!P35)</f>
        <v>12600</v>
      </c>
      <c r="P38" s="37">
        <f t="shared" si="3"/>
        <v>0</v>
      </c>
      <c r="Q38" s="45">
        <f t="shared" si="4"/>
        <v>-12600</v>
      </c>
    </row>
    <row r="39" spans="1:17" ht="12.75" customHeight="1" x14ac:dyDescent="0.25">
      <c r="A39" s="20"/>
      <c r="B39" s="15" t="s">
        <v>78</v>
      </c>
      <c r="C39" s="46">
        <f t="shared" ref="C39:H39" si="7">SUM(C15:C38)</f>
        <v>0</v>
      </c>
      <c r="D39" s="46">
        <f t="shared" si="7"/>
        <v>0</v>
      </c>
      <c r="E39" s="46">
        <f t="shared" si="7"/>
        <v>0</v>
      </c>
      <c r="F39" s="46">
        <f t="shared" si="7"/>
        <v>0</v>
      </c>
      <c r="G39" s="46">
        <f t="shared" si="7"/>
        <v>865827</v>
      </c>
      <c r="H39" s="46">
        <f t="shared" si="7"/>
        <v>865827</v>
      </c>
      <c r="I39" s="46">
        <f t="shared" si="0"/>
        <v>0</v>
      </c>
      <c r="J39" s="46">
        <f>IF(ISBLANK(Projection!P36), "", Projection!P36)</f>
        <v>865827</v>
      </c>
      <c r="K39" s="46">
        <f>IF(ISBLANK('Committed Cost'!P36), "", 'Committed Cost'!P36)</f>
        <v>629214</v>
      </c>
      <c r="L39" s="38">
        <f t="shared" si="1"/>
        <v>0</v>
      </c>
      <c r="M39" s="46">
        <f t="shared" si="2"/>
        <v>-629214</v>
      </c>
      <c r="N39" s="46">
        <f>IF(ISBLANK(Accrual!P36), "", Accrual!P36)</f>
        <v>132497</v>
      </c>
      <c r="O39" s="46">
        <f>IF(ISBLANK('Cash Flow'!P36), "",'Cash Flow'!P36)</f>
        <v>113015.47337000001</v>
      </c>
      <c r="P39" s="38">
        <f t="shared" si="3"/>
        <v>0.17961372978032911</v>
      </c>
      <c r="Q39" s="47">
        <f t="shared" si="4"/>
        <v>516198.52662999998</v>
      </c>
    </row>
    <row r="40" spans="1:17" ht="12.75" customHeight="1" x14ac:dyDescent="0.25">
      <c r="A40" s="18"/>
      <c r="B40" s="4"/>
      <c r="C40" s="42"/>
      <c r="D40" s="42"/>
      <c r="E40" s="42"/>
      <c r="F40" s="42"/>
      <c r="G40" s="42"/>
      <c r="H40" s="42"/>
      <c r="I40" s="42" t="str">
        <f t="shared" si="0"/>
        <v/>
      </c>
      <c r="J40" s="42" t="str">
        <f>IF(ISBLANK(Projection!P37), "", Projection!P37)</f>
        <v/>
      </c>
      <c r="K40" s="42" t="str">
        <f>IF(ISBLANK('Committed Cost'!P37), "", 'Committed Cost'!P37)</f>
        <v/>
      </c>
      <c r="L40" s="36" t="str">
        <f t="shared" si="1"/>
        <v/>
      </c>
      <c r="M40" s="42" t="str">
        <f t="shared" si="2"/>
        <v/>
      </c>
      <c r="N40" s="42" t="str">
        <f>IF(ISBLANK(Accrual!P37), "", Accrual!P37)</f>
        <v/>
      </c>
      <c r="O40" s="42" t="str">
        <f>IF(ISBLANK('Cash Flow'!P37), "",'Cash Flow'!P37)</f>
        <v/>
      </c>
      <c r="P40" s="36" t="str">
        <f t="shared" si="3"/>
        <v/>
      </c>
      <c r="Q40" s="43" t="str">
        <f t="shared" si="4"/>
        <v/>
      </c>
    </row>
    <row r="41" spans="1:17" ht="12.75" customHeight="1" x14ac:dyDescent="0.25">
      <c r="A41" s="18">
        <v>2</v>
      </c>
      <c r="B41" s="4" t="s">
        <v>79</v>
      </c>
      <c r="C41" s="42"/>
      <c r="D41" s="42"/>
      <c r="E41" s="42"/>
      <c r="F41" s="42"/>
      <c r="G41" s="42"/>
      <c r="H41" s="42"/>
      <c r="I41" s="42" t="str">
        <f t="shared" si="0"/>
        <v/>
      </c>
      <c r="J41" s="42" t="str">
        <f>IF(ISBLANK(Projection!P38), "", Projection!P38)</f>
        <v/>
      </c>
      <c r="K41" s="42" t="str">
        <f>IF(ISBLANK('Committed Cost'!P38), "", 'Committed Cost'!P38)</f>
        <v/>
      </c>
      <c r="L41" s="36" t="str">
        <f t="shared" si="1"/>
        <v/>
      </c>
      <c r="M41" s="42" t="str">
        <f t="shared" si="2"/>
        <v/>
      </c>
      <c r="N41" s="42" t="str">
        <f>IF(ISBLANK(Accrual!P38), "", Accrual!P38)</f>
        <v/>
      </c>
      <c r="O41" s="42" t="str">
        <f>IF(ISBLANK('Cash Flow'!P38), "",'Cash Flow'!P38)</f>
        <v/>
      </c>
      <c r="P41" s="36" t="str">
        <f t="shared" si="3"/>
        <v/>
      </c>
      <c r="Q41" s="43" t="str">
        <f t="shared" si="4"/>
        <v/>
      </c>
    </row>
    <row r="42" spans="1:17" ht="12.75" customHeight="1" x14ac:dyDescent="0.25">
      <c r="A42" s="18">
        <v>2.1</v>
      </c>
      <c r="B42" s="4" t="s">
        <v>80</v>
      </c>
      <c r="C42" s="42"/>
      <c r="D42" s="42"/>
      <c r="E42" s="42"/>
      <c r="F42" s="42"/>
      <c r="G42" s="42"/>
      <c r="H42" s="42"/>
      <c r="I42" s="42" t="str">
        <f t="shared" si="0"/>
        <v/>
      </c>
      <c r="J42" s="42" t="str">
        <f>IF(ISBLANK(Projection!P39), "", Projection!P39)</f>
        <v/>
      </c>
      <c r="K42" s="42" t="str">
        <f>IF(ISBLANK('Committed Cost'!P39), "", 'Committed Cost'!P39)</f>
        <v/>
      </c>
      <c r="L42" s="36" t="str">
        <f t="shared" si="1"/>
        <v/>
      </c>
      <c r="M42" s="42" t="str">
        <f t="shared" si="2"/>
        <v/>
      </c>
      <c r="N42" s="42" t="str">
        <f>IF(ISBLANK(Accrual!P39), "", Accrual!P39)</f>
        <v/>
      </c>
      <c r="O42" s="42" t="str">
        <f>IF(ISBLANK('Cash Flow'!P39), "",'Cash Flow'!P39)</f>
        <v/>
      </c>
      <c r="P42" s="36" t="str">
        <f t="shared" si="3"/>
        <v/>
      </c>
      <c r="Q42" s="43" t="str">
        <f t="shared" si="4"/>
        <v/>
      </c>
    </row>
    <row r="43" spans="1:17" ht="12.75" customHeight="1" x14ac:dyDescent="0.25">
      <c r="A43" s="18" t="s">
        <v>81</v>
      </c>
      <c r="B43" s="4" t="s">
        <v>82</v>
      </c>
      <c r="C43" s="42">
        <v>0</v>
      </c>
      <c r="D43" s="42">
        <v>0</v>
      </c>
      <c r="E43" s="42">
        <v>0</v>
      </c>
      <c r="F43" s="42">
        <f t="shared" ref="F43:F55" si="8">D43+E43</f>
        <v>0</v>
      </c>
      <c r="G43" s="42">
        <v>55463</v>
      </c>
      <c r="H43" s="42">
        <v>55463</v>
      </c>
      <c r="I43" s="42">
        <f t="shared" si="0"/>
        <v>0</v>
      </c>
      <c r="J43" s="42">
        <f>IF(ISBLANK(Projection!P40), "", Projection!P40)</f>
        <v>55463</v>
      </c>
      <c r="K43" s="42">
        <f>IF(ISBLANK('Committed Cost'!P40), "", 'Committed Cost'!P40)</f>
        <v>11147.383</v>
      </c>
      <c r="L43" s="36">
        <f t="shared" si="1"/>
        <v>0</v>
      </c>
      <c r="M43" s="42">
        <f t="shared" si="2"/>
        <v>-11147.383</v>
      </c>
      <c r="N43" s="42">
        <f>IF(ISBLANK(Accrual!P40), "", Accrual!P40)</f>
        <v>11147.383</v>
      </c>
      <c r="O43" s="42">
        <f>IF(ISBLANK('Cash Flow'!P40), "",'Cash Flow'!P40)</f>
        <v>11147.383</v>
      </c>
      <c r="P43" s="36">
        <f t="shared" si="3"/>
        <v>1</v>
      </c>
      <c r="Q43" s="43">
        <f t="shared" si="4"/>
        <v>0</v>
      </c>
    </row>
    <row r="44" spans="1:17" ht="12.75" customHeight="1" x14ac:dyDescent="0.25">
      <c r="A44" s="18" t="s">
        <v>83</v>
      </c>
      <c r="B44" s="4" t="s">
        <v>84</v>
      </c>
      <c r="C44" s="42">
        <v>0</v>
      </c>
      <c r="D44" s="42">
        <v>0</v>
      </c>
      <c r="E44" s="42">
        <v>0</v>
      </c>
      <c r="F44" s="42">
        <f t="shared" si="8"/>
        <v>0</v>
      </c>
      <c r="G44" s="42">
        <v>690</v>
      </c>
      <c r="H44" s="42">
        <v>690</v>
      </c>
      <c r="I44" s="42">
        <f t="shared" si="0"/>
        <v>0</v>
      </c>
      <c r="J44" s="42">
        <f>IF(ISBLANK(Projection!P41), "", Projection!P41)</f>
        <v>690</v>
      </c>
      <c r="K44" s="42">
        <f>IF(ISBLANK('Committed Cost'!P41), "", 'Committed Cost'!P41)</f>
        <v>372.55590000000001</v>
      </c>
      <c r="L44" s="36">
        <f t="shared" si="1"/>
        <v>0</v>
      </c>
      <c r="M44" s="42">
        <f t="shared" si="2"/>
        <v>-372.55590000000001</v>
      </c>
      <c r="N44" s="42">
        <f>IF(ISBLANK(Accrual!P41), "", Accrual!P41)</f>
        <v>372.55590000000001</v>
      </c>
      <c r="O44" s="42">
        <f>IF(ISBLANK('Cash Flow'!P41), "",'Cash Flow'!P41)</f>
        <v>372.55590000000001</v>
      </c>
      <c r="P44" s="36">
        <f t="shared" si="3"/>
        <v>1</v>
      </c>
      <c r="Q44" s="43">
        <f t="shared" si="4"/>
        <v>0</v>
      </c>
    </row>
    <row r="45" spans="1:17" ht="12.75" customHeight="1" x14ac:dyDescent="0.25">
      <c r="A45" s="18" t="s">
        <v>85</v>
      </c>
      <c r="B45" s="4" t="s">
        <v>86</v>
      </c>
      <c r="C45" s="42">
        <v>0</v>
      </c>
      <c r="D45" s="42">
        <v>0</v>
      </c>
      <c r="E45" s="42">
        <v>0</v>
      </c>
      <c r="F45" s="42">
        <f t="shared" si="8"/>
        <v>0</v>
      </c>
      <c r="G45" s="42">
        <v>10573</v>
      </c>
      <c r="H45" s="42">
        <v>10573</v>
      </c>
      <c r="I45" s="42">
        <f t="shared" si="0"/>
        <v>0</v>
      </c>
      <c r="J45" s="42">
        <f>IF(ISBLANK(Projection!P42), "", Projection!P42)</f>
        <v>10573</v>
      </c>
      <c r="K45" s="42">
        <f>IF(ISBLANK('Committed Cost'!P42), "", 'Committed Cost'!P42)</f>
        <v>769.79290000000003</v>
      </c>
      <c r="L45" s="36">
        <f t="shared" si="1"/>
        <v>0</v>
      </c>
      <c r="M45" s="42">
        <f t="shared" si="2"/>
        <v>-769.79290000000003</v>
      </c>
      <c r="N45" s="42">
        <f>IF(ISBLANK(Accrual!P42), "", Accrual!P42)</f>
        <v>769.79290000000003</v>
      </c>
      <c r="O45" s="42">
        <f>IF(ISBLANK('Cash Flow'!P42), "",'Cash Flow'!P42)</f>
        <v>769.79290000000003</v>
      </c>
      <c r="P45" s="36">
        <f t="shared" si="3"/>
        <v>1</v>
      </c>
      <c r="Q45" s="43">
        <f t="shared" si="4"/>
        <v>0</v>
      </c>
    </row>
    <row r="46" spans="1:17" ht="12.75" customHeight="1" x14ac:dyDescent="0.25">
      <c r="A46" s="18" t="s">
        <v>87</v>
      </c>
      <c r="B46" s="4" t="s">
        <v>88</v>
      </c>
      <c r="C46" s="42">
        <v>0</v>
      </c>
      <c r="D46" s="42">
        <v>0</v>
      </c>
      <c r="E46" s="42">
        <v>0</v>
      </c>
      <c r="F46" s="42">
        <f t="shared" si="8"/>
        <v>0</v>
      </c>
      <c r="G46" s="42">
        <v>5686</v>
      </c>
      <c r="H46" s="42">
        <v>5686</v>
      </c>
      <c r="I46" s="42">
        <f t="shared" si="0"/>
        <v>0</v>
      </c>
      <c r="J46" s="42">
        <f>IF(ISBLANK(Projection!P43), "", Projection!P43)</f>
        <v>5686</v>
      </c>
      <c r="K46" s="42">
        <f>IF(ISBLANK('Committed Cost'!P43), "", 'Committed Cost'!P43)</f>
        <v>634.65419999999995</v>
      </c>
      <c r="L46" s="36">
        <f t="shared" si="1"/>
        <v>0</v>
      </c>
      <c r="M46" s="42">
        <f t="shared" si="2"/>
        <v>-634.65419999999995</v>
      </c>
      <c r="N46" s="42">
        <f>IF(ISBLANK(Accrual!P43), "", Accrual!P43)</f>
        <v>634.64959999999996</v>
      </c>
      <c r="O46" s="42">
        <f>IF(ISBLANK('Cash Flow'!P43), "",'Cash Flow'!P43)</f>
        <v>634.64959999999996</v>
      </c>
      <c r="P46" s="36">
        <f t="shared" si="3"/>
        <v>0.99999275195846815</v>
      </c>
      <c r="Q46" s="43">
        <f t="shared" si="4"/>
        <v>4.5999999999821739E-3</v>
      </c>
    </row>
    <row r="47" spans="1:17" ht="12.75" customHeight="1" x14ac:dyDescent="0.25">
      <c r="A47" s="18" t="s">
        <v>89</v>
      </c>
      <c r="B47" s="4" t="s">
        <v>90</v>
      </c>
      <c r="C47" s="42">
        <v>0</v>
      </c>
      <c r="D47" s="42">
        <v>0</v>
      </c>
      <c r="E47" s="42">
        <v>0</v>
      </c>
      <c r="F47" s="42">
        <f t="shared" si="8"/>
        <v>0</v>
      </c>
      <c r="G47" s="42">
        <v>18975</v>
      </c>
      <c r="H47" s="42">
        <v>18975</v>
      </c>
      <c r="I47" s="42">
        <f t="shared" si="0"/>
        <v>0</v>
      </c>
      <c r="J47" s="42">
        <f>IF(ISBLANK(Projection!P44), "", Projection!P44)</f>
        <v>18975</v>
      </c>
      <c r="K47" s="42">
        <f>IF(ISBLANK('Committed Cost'!P44), "", 'Committed Cost'!P44)</f>
        <v>6861.9159999999993</v>
      </c>
      <c r="L47" s="36">
        <f t="shared" si="1"/>
        <v>0</v>
      </c>
      <c r="M47" s="42">
        <f t="shared" si="2"/>
        <v>-6861.9159999999993</v>
      </c>
      <c r="N47" s="42">
        <f>IF(ISBLANK(Accrual!P44), "", Accrual!P44)</f>
        <v>6861.9159999999993</v>
      </c>
      <c r="O47" s="42">
        <f>IF(ISBLANK('Cash Flow'!P44), "",'Cash Flow'!P44)</f>
        <v>6859.3320000000003</v>
      </c>
      <c r="P47" s="36">
        <f t="shared" si="3"/>
        <v>0.99962342879160881</v>
      </c>
      <c r="Q47" s="43">
        <f t="shared" si="4"/>
        <v>2.5839999999989232</v>
      </c>
    </row>
    <row r="48" spans="1:17" ht="12.75" customHeight="1" x14ac:dyDescent="0.25">
      <c r="A48" s="18" t="s">
        <v>91</v>
      </c>
      <c r="B48" s="4" t="s">
        <v>92</v>
      </c>
      <c r="C48" s="42">
        <v>0</v>
      </c>
      <c r="D48" s="42">
        <v>0</v>
      </c>
      <c r="E48" s="42">
        <v>0</v>
      </c>
      <c r="F48" s="42">
        <f t="shared" si="8"/>
        <v>0</v>
      </c>
      <c r="G48" s="42">
        <v>11305</v>
      </c>
      <c r="H48" s="42">
        <v>11305</v>
      </c>
      <c r="I48" s="42">
        <f t="shared" ref="I48:I79" si="9">IF(H48="", "", J48-H48)</f>
        <v>4322</v>
      </c>
      <c r="J48" s="42">
        <f>IF(ISBLANK(Projection!P45), "", Projection!P45)</f>
        <v>15627</v>
      </c>
      <c r="K48" s="42">
        <f>IF(ISBLANK('Committed Cost'!P45), "", 'Committed Cost'!P45)</f>
        <v>11544.91121</v>
      </c>
      <c r="L48" s="36">
        <f t="shared" ref="L48:L79" si="10">IFERROR(IF(ISBLANK(F48), "", K48/F48), 0)</f>
        <v>0</v>
      </c>
      <c r="M48" s="42">
        <f t="shared" ref="M48:M79" si="11">IF(F48="", "", F48-K48)</f>
        <v>-11544.91121</v>
      </c>
      <c r="N48" s="42">
        <f>IF(ISBLANK(Accrual!P45), "", Accrual!P45)</f>
        <v>10059.57538</v>
      </c>
      <c r="O48" s="42">
        <f>IF(ISBLANK('Cash Flow'!P45), "",'Cash Flow'!P45)</f>
        <v>5380.4462000000012</v>
      </c>
      <c r="P48" s="36">
        <f t="shared" ref="P48:P79" si="12">IFERROR(IF(O48="", "", O48/K48), 0)</f>
        <v>0.46604483153924586</v>
      </c>
      <c r="Q48" s="43">
        <f t="shared" ref="Q48:Q79" si="13">IF(K48="", "", K48-O48)</f>
        <v>6164.465009999999</v>
      </c>
    </row>
    <row r="49" spans="1:17" ht="12.75" hidden="1" customHeight="1" x14ac:dyDescent="0.25">
      <c r="A49" s="18" t="s">
        <v>93</v>
      </c>
      <c r="B49" s="4" t="s">
        <v>94</v>
      </c>
      <c r="C49" s="42">
        <v>0</v>
      </c>
      <c r="D49" s="42">
        <v>0</v>
      </c>
      <c r="E49" s="42">
        <v>0</v>
      </c>
      <c r="F49" s="42">
        <f t="shared" si="8"/>
        <v>0</v>
      </c>
      <c r="G49" s="42">
        <v>0</v>
      </c>
      <c r="H49" s="42">
        <v>0</v>
      </c>
      <c r="I49" s="42">
        <f t="shared" si="9"/>
        <v>0</v>
      </c>
      <c r="J49" s="42">
        <f>IF(ISBLANK(Projection!P46), "", Projection!P46)</f>
        <v>0</v>
      </c>
      <c r="K49" s="42">
        <f>IF(ISBLANK('Committed Cost'!P46), "", 'Committed Cost'!P46)</f>
        <v>0</v>
      </c>
      <c r="L49" s="36">
        <f t="shared" si="10"/>
        <v>0</v>
      </c>
      <c r="M49" s="42">
        <f t="shared" si="11"/>
        <v>0</v>
      </c>
      <c r="N49" s="42">
        <f>IF(ISBLANK(Accrual!P46), "", Accrual!P46)</f>
        <v>0</v>
      </c>
      <c r="O49" s="42">
        <f>IF(ISBLANK('Cash Flow'!P46), "",'Cash Flow'!P46)</f>
        <v>0</v>
      </c>
      <c r="P49" s="36">
        <f t="shared" si="12"/>
        <v>0</v>
      </c>
      <c r="Q49" s="43">
        <f t="shared" si="13"/>
        <v>0</v>
      </c>
    </row>
    <row r="50" spans="1:17" ht="12.75" customHeight="1" x14ac:dyDescent="0.25">
      <c r="A50" s="18" t="s">
        <v>95</v>
      </c>
      <c r="B50" s="4" t="s">
        <v>96</v>
      </c>
      <c r="C50" s="42">
        <v>0</v>
      </c>
      <c r="D50" s="42">
        <v>0</v>
      </c>
      <c r="E50" s="42">
        <v>0</v>
      </c>
      <c r="F50" s="42">
        <f t="shared" si="8"/>
        <v>0</v>
      </c>
      <c r="G50" s="42">
        <v>877.82</v>
      </c>
      <c r="H50" s="42">
        <v>877.82</v>
      </c>
      <c r="I50" s="42">
        <f t="shared" si="9"/>
        <v>-4.9999999999954525E-3</v>
      </c>
      <c r="J50" s="42">
        <f>IF(ISBLANK(Projection!P47), "", Projection!P47)</f>
        <v>877.81500000000005</v>
      </c>
      <c r="K50" s="42">
        <f>IF(ISBLANK('Committed Cost'!P47), "", 'Committed Cost'!P47)</f>
        <v>25.419</v>
      </c>
      <c r="L50" s="36">
        <f t="shared" si="10"/>
        <v>0</v>
      </c>
      <c r="M50" s="42">
        <f t="shared" si="11"/>
        <v>-25.419</v>
      </c>
      <c r="N50" s="42">
        <f>IF(ISBLANK(Accrual!P47), "", Accrual!P47)</f>
        <v>25.419</v>
      </c>
      <c r="O50" s="42">
        <f>IF(ISBLANK('Cash Flow'!P47), "",'Cash Flow'!P47)</f>
        <v>22.347000000000001</v>
      </c>
      <c r="P50" s="36">
        <f t="shared" si="12"/>
        <v>0.87914552106691846</v>
      </c>
      <c r="Q50" s="43">
        <f t="shared" si="13"/>
        <v>3.0719999999999992</v>
      </c>
    </row>
    <row r="51" spans="1:17" ht="12.75" customHeight="1" x14ac:dyDescent="0.25">
      <c r="A51" s="18" t="s">
        <v>97</v>
      </c>
      <c r="B51" s="4" t="s">
        <v>98</v>
      </c>
      <c r="C51" s="42">
        <v>0</v>
      </c>
      <c r="D51" s="42">
        <v>0</v>
      </c>
      <c r="E51" s="42">
        <v>0</v>
      </c>
      <c r="F51" s="42">
        <f t="shared" si="8"/>
        <v>0</v>
      </c>
      <c r="G51" s="42">
        <v>27147</v>
      </c>
      <c r="H51" s="42">
        <v>27147</v>
      </c>
      <c r="I51" s="42">
        <f t="shared" si="9"/>
        <v>0</v>
      </c>
      <c r="J51" s="42">
        <f>IF(ISBLANK(Projection!P48), "", Projection!P48)</f>
        <v>27147</v>
      </c>
      <c r="K51" s="42">
        <f>IF(ISBLANK('Committed Cost'!P48), "", 'Committed Cost'!P48)</f>
        <v>3397.5</v>
      </c>
      <c r="L51" s="36">
        <f t="shared" si="10"/>
        <v>0</v>
      </c>
      <c r="M51" s="42">
        <f t="shared" si="11"/>
        <v>-3397.5</v>
      </c>
      <c r="N51" s="42">
        <f>IF(ISBLANK(Accrual!P48), "", Accrual!P48)</f>
        <v>2037.6179999999999</v>
      </c>
      <c r="O51" s="42">
        <f>IF(ISBLANK('Cash Flow'!P48), "",'Cash Flow'!P48)</f>
        <v>1193.1179999999999</v>
      </c>
      <c r="P51" s="36">
        <f t="shared" si="12"/>
        <v>0.35117527593818981</v>
      </c>
      <c r="Q51" s="43">
        <f t="shared" si="13"/>
        <v>2204.3820000000001</v>
      </c>
    </row>
    <row r="52" spans="1:17" ht="12.75" hidden="1" customHeight="1" x14ac:dyDescent="0.25">
      <c r="A52" s="18" t="s">
        <v>99</v>
      </c>
      <c r="B52" s="4" t="s">
        <v>100</v>
      </c>
      <c r="C52" s="42">
        <v>0</v>
      </c>
      <c r="D52" s="42">
        <v>0</v>
      </c>
      <c r="E52" s="42">
        <v>0</v>
      </c>
      <c r="F52" s="42">
        <f t="shared" si="8"/>
        <v>0</v>
      </c>
      <c r="G52" s="42">
        <v>0</v>
      </c>
      <c r="H52" s="42">
        <v>0</v>
      </c>
      <c r="I52" s="42">
        <f t="shared" si="9"/>
        <v>0</v>
      </c>
      <c r="J52" s="42">
        <f>IF(ISBLANK(Projection!P49), "", Projection!P49)</f>
        <v>0</v>
      </c>
      <c r="K52" s="42">
        <f>IF(ISBLANK('Committed Cost'!P49), "", 'Committed Cost'!P49)</f>
        <v>0</v>
      </c>
      <c r="L52" s="36">
        <f t="shared" si="10"/>
        <v>0</v>
      </c>
      <c r="M52" s="42">
        <f t="shared" si="11"/>
        <v>0</v>
      </c>
      <c r="N52" s="42">
        <f>IF(ISBLANK(Accrual!P49), "", Accrual!P49)</f>
        <v>0</v>
      </c>
      <c r="O52" s="42">
        <f>IF(ISBLANK('Cash Flow'!P49), "",'Cash Flow'!P49)</f>
        <v>0</v>
      </c>
      <c r="P52" s="36">
        <f t="shared" si="12"/>
        <v>0</v>
      </c>
      <c r="Q52" s="43">
        <f t="shared" si="13"/>
        <v>0</v>
      </c>
    </row>
    <row r="53" spans="1:17" ht="12.75" customHeight="1" x14ac:dyDescent="0.25">
      <c r="A53" s="18" t="s">
        <v>101</v>
      </c>
      <c r="B53" s="4" t="s">
        <v>102</v>
      </c>
      <c r="C53" s="42">
        <v>0</v>
      </c>
      <c r="D53" s="42">
        <v>0</v>
      </c>
      <c r="E53" s="42">
        <v>0</v>
      </c>
      <c r="F53" s="42">
        <f t="shared" si="8"/>
        <v>0</v>
      </c>
      <c r="G53" s="42">
        <v>14553</v>
      </c>
      <c r="H53" s="42">
        <v>14553</v>
      </c>
      <c r="I53" s="42">
        <f t="shared" si="9"/>
        <v>-4322</v>
      </c>
      <c r="J53" s="42">
        <f>IF(ISBLANK(Projection!P50), "", Projection!P50)</f>
        <v>10231</v>
      </c>
      <c r="K53" s="42">
        <f>IF(ISBLANK('Committed Cost'!P50), "", 'Committed Cost'!P50)</f>
        <v>8147.6756500000001</v>
      </c>
      <c r="L53" s="36">
        <f t="shared" si="10"/>
        <v>0</v>
      </c>
      <c r="M53" s="42">
        <f t="shared" si="11"/>
        <v>-8147.6756500000001</v>
      </c>
      <c r="N53" s="42">
        <f>IF(ISBLANK(Accrual!P50), "", Accrual!P50)</f>
        <v>5444.7612499999996</v>
      </c>
      <c r="O53" s="42">
        <f>IF(ISBLANK('Cash Flow'!P50), "",'Cash Flow'!P50)</f>
        <v>5120.7742500000004</v>
      </c>
      <c r="P53" s="36">
        <f t="shared" si="12"/>
        <v>0.62849510338571224</v>
      </c>
      <c r="Q53" s="43">
        <f t="shared" si="13"/>
        <v>3026.9013999999997</v>
      </c>
    </row>
    <row r="54" spans="1:17" ht="12.75" customHeight="1" x14ac:dyDescent="0.25">
      <c r="A54" s="18" t="s">
        <v>103</v>
      </c>
      <c r="B54" s="4" t="s">
        <v>104</v>
      </c>
      <c r="C54" s="42">
        <v>0</v>
      </c>
      <c r="D54" s="42">
        <v>0</v>
      </c>
      <c r="E54" s="42">
        <v>0</v>
      </c>
      <c r="F54" s="42">
        <f t="shared" si="8"/>
        <v>0</v>
      </c>
      <c r="G54" s="42">
        <v>12987</v>
      </c>
      <c r="H54" s="42">
        <v>12987</v>
      </c>
      <c r="I54" s="42">
        <f t="shared" si="9"/>
        <v>0</v>
      </c>
      <c r="J54" s="42">
        <f>IF(ISBLANK(Projection!P51), "", Projection!P51)</f>
        <v>12987</v>
      </c>
      <c r="K54" s="42">
        <f>IF(ISBLANK('Committed Cost'!P51), "", 'Committed Cost'!P51)</f>
        <v>0</v>
      </c>
      <c r="L54" s="36">
        <f t="shared" si="10"/>
        <v>0</v>
      </c>
      <c r="M54" s="42">
        <f t="shared" si="11"/>
        <v>0</v>
      </c>
      <c r="N54" s="42">
        <f>IF(ISBLANK(Accrual!P51), "", Accrual!P51)</f>
        <v>0</v>
      </c>
      <c r="O54" s="42">
        <f>IF(ISBLANK('Cash Flow'!P51), "",'Cash Flow'!P51)</f>
        <v>0</v>
      </c>
      <c r="P54" s="36">
        <f t="shared" si="12"/>
        <v>0</v>
      </c>
      <c r="Q54" s="43">
        <f t="shared" si="13"/>
        <v>0</v>
      </c>
    </row>
    <row r="55" spans="1:17" ht="12.75" hidden="1" customHeight="1" x14ac:dyDescent="0.25">
      <c r="A55" s="18" t="s">
        <v>105</v>
      </c>
      <c r="B55" s="4" t="s">
        <v>106</v>
      </c>
      <c r="C55" s="42">
        <v>0</v>
      </c>
      <c r="D55" s="42">
        <v>0</v>
      </c>
      <c r="E55" s="42">
        <v>0</v>
      </c>
      <c r="F55" s="42">
        <f t="shared" si="8"/>
        <v>0</v>
      </c>
      <c r="G55" s="42">
        <v>0</v>
      </c>
      <c r="H55" s="42">
        <v>0</v>
      </c>
      <c r="I55" s="42">
        <f t="shared" si="9"/>
        <v>0</v>
      </c>
      <c r="J55" s="42">
        <f>IF(ISBLANK(Projection!P52), "", Projection!P52)</f>
        <v>0</v>
      </c>
      <c r="K55" s="42">
        <f>IF(ISBLANK('Committed Cost'!P52), "", 'Committed Cost'!P52)</f>
        <v>0</v>
      </c>
      <c r="L55" s="36">
        <f t="shared" si="10"/>
        <v>0</v>
      </c>
      <c r="M55" s="42">
        <f t="shared" si="11"/>
        <v>0</v>
      </c>
      <c r="N55" s="42">
        <f>IF(ISBLANK(Accrual!P52), "", Accrual!P52)</f>
        <v>0</v>
      </c>
      <c r="O55" s="42">
        <f>IF(ISBLANK('Cash Flow'!P52), "",'Cash Flow'!P52)</f>
        <v>0</v>
      </c>
      <c r="P55" s="36">
        <f t="shared" si="12"/>
        <v>0</v>
      </c>
      <c r="Q55" s="43">
        <f t="shared" si="13"/>
        <v>0</v>
      </c>
    </row>
    <row r="56" spans="1:17" ht="12.75" customHeight="1" x14ac:dyDescent="0.25">
      <c r="A56" s="18">
        <v>2.2000000000000002</v>
      </c>
      <c r="B56" s="4" t="s">
        <v>107</v>
      </c>
      <c r="C56" s="42"/>
      <c r="D56" s="42"/>
      <c r="E56" s="42"/>
      <c r="F56" s="42"/>
      <c r="G56" s="42"/>
      <c r="H56" s="42"/>
      <c r="I56" s="42" t="str">
        <f t="shared" si="9"/>
        <v/>
      </c>
      <c r="J56" s="42" t="str">
        <f>IF(ISBLANK(Projection!P53), "", Projection!P53)</f>
        <v/>
      </c>
      <c r="K56" s="42" t="str">
        <f>IF(ISBLANK('Committed Cost'!P53), "", 'Committed Cost'!P53)</f>
        <v/>
      </c>
      <c r="L56" s="36" t="str">
        <f t="shared" si="10"/>
        <v/>
      </c>
      <c r="M56" s="42" t="str">
        <f t="shared" si="11"/>
        <v/>
      </c>
      <c r="N56" s="42" t="str">
        <f>IF(ISBLANK(Accrual!P53), "", Accrual!P53)</f>
        <v/>
      </c>
      <c r="O56" s="42" t="str">
        <f>IF(ISBLANK('Cash Flow'!P53), "",'Cash Flow'!P53)</f>
        <v/>
      </c>
      <c r="P56" s="36" t="str">
        <f t="shared" si="12"/>
        <v/>
      </c>
      <c r="Q56" s="43" t="str">
        <f t="shared" si="13"/>
        <v/>
      </c>
    </row>
    <row r="57" spans="1:17" ht="12.75" hidden="1" customHeight="1" x14ac:dyDescent="0.25">
      <c r="A57" s="18" t="s">
        <v>108</v>
      </c>
      <c r="B57" s="4" t="s">
        <v>109</v>
      </c>
      <c r="C57" s="42">
        <v>0</v>
      </c>
      <c r="D57" s="42">
        <v>0</v>
      </c>
      <c r="E57" s="42">
        <v>0</v>
      </c>
      <c r="F57" s="42">
        <f t="shared" ref="F57:F74" si="14">D57+E57</f>
        <v>0</v>
      </c>
      <c r="G57" s="42">
        <v>0</v>
      </c>
      <c r="H57" s="42">
        <v>0</v>
      </c>
      <c r="I57" s="42">
        <f t="shared" si="9"/>
        <v>0</v>
      </c>
      <c r="J57" s="42">
        <f>IF(ISBLANK(Projection!P54), "", Projection!P54)</f>
        <v>0</v>
      </c>
      <c r="K57" s="42">
        <f>IF(ISBLANK('Committed Cost'!P54), "", 'Committed Cost'!P54)</f>
        <v>0</v>
      </c>
      <c r="L57" s="36">
        <f t="shared" si="10"/>
        <v>0</v>
      </c>
      <c r="M57" s="42">
        <f t="shared" si="11"/>
        <v>0</v>
      </c>
      <c r="N57" s="42">
        <f>IF(ISBLANK(Accrual!P54), "", Accrual!P54)</f>
        <v>0</v>
      </c>
      <c r="O57" s="42">
        <f>IF(ISBLANK('Cash Flow'!P54), "",'Cash Flow'!P54)</f>
        <v>0</v>
      </c>
      <c r="P57" s="36">
        <f t="shared" si="12"/>
        <v>0</v>
      </c>
      <c r="Q57" s="43">
        <f t="shared" si="13"/>
        <v>0</v>
      </c>
    </row>
    <row r="58" spans="1:17" ht="12.75" hidden="1" customHeight="1" x14ac:dyDescent="0.25">
      <c r="A58" s="18" t="s">
        <v>110</v>
      </c>
      <c r="B58" s="4" t="s">
        <v>111</v>
      </c>
      <c r="C58" s="42">
        <v>0</v>
      </c>
      <c r="D58" s="42">
        <v>0</v>
      </c>
      <c r="E58" s="42">
        <v>0</v>
      </c>
      <c r="F58" s="42">
        <f t="shared" si="14"/>
        <v>0</v>
      </c>
      <c r="G58" s="42">
        <v>0</v>
      </c>
      <c r="H58" s="42">
        <v>0</v>
      </c>
      <c r="I58" s="42">
        <f t="shared" si="9"/>
        <v>0</v>
      </c>
      <c r="J58" s="42">
        <f>IF(ISBLANK(Projection!P55), "", Projection!P55)</f>
        <v>0</v>
      </c>
      <c r="K58" s="42">
        <f>IF(ISBLANK('Committed Cost'!P55), "", 'Committed Cost'!P55)</f>
        <v>0</v>
      </c>
      <c r="L58" s="36">
        <f t="shared" si="10"/>
        <v>0</v>
      </c>
      <c r="M58" s="42">
        <f t="shared" si="11"/>
        <v>0</v>
      </c>
      <c r="N58" s="42">
        <f>IF(ISBLANK(Accrual!P55), "", Accrual!P55)</f>
        <v>0</v>
      </c>
      <c r="O58" s="42">
        <f>IF(ISBLANK('Cash Flow'!P55), "",'Cash Flow'!P55)</f>
        <v>0</v>
      </c>
      <c r="P58" s="36">
        <f t="shared" si="12"/>
        <v>0</v>
      </c>
      <c r="Q58" s="43">
        <f t="shared" si="13"/>
        <v>0</v>
      </c>
    </row>
    <row r="59" spans="1:17" ht="12.75" hidden="1" customHeight="1" x14ac:dyDescent="0.25">
      <c r="A59" s="18" t="s">
        <v>112</v>
      </c>
      <c r="B59" s="4" t="s">
        <v>113</v>
      </c>
      <c r="C59" s="42">
        <v>0</v>
      </c>
      <c r="D59" s="42">
        <v>0</v>
      </c>
      <c r="E59" s="42">
        <v>0</v>
      </c>
      <c r="F59" s="42">
        <f t="shared" si="14"/>
        <v>0</v>
      </c>
      <c r="G59" s="42">
        <v>0</v>
      </c>
      <c r="H59" s="42">
        <v>0</v>
      </c>
      <c r="I59" s="42">
        <f t="shared" si="9"/>
        <v>0</v>
      </c>
      <c r="J59" s="42">
        <f>IF(ISBLANK(Projection!P56), "", Projection!P56)</f>
        <v>0</v>
      </c>
      <c r="K59" s="42">
        <f>IF(ISBLANK('Committed Cost'!P56), "", 'Committed Cost'!P56)</f>
        <v>0</v>
      </c>
      <c r="L59" s="36">
        <f t="shared" si="10"/>
        <v>0</v>
      </c>
      <c r="M59" s="42">
        <f t="shared" si="11"/>
        <v>0</v>
      </c>
      <c r="N59" s="42">
        <f>IF(ISBLANK(Accrual!P56), "", Accrual!P56)</f>
        <v>0</v>
      </c>
      <c r="O59" s="42">
        <f>IF(ISBLANK('Cash Flow'!P56), "",'Cash Flow'!P56)</f>
        <v>0</v>
      </c>
      <c r="P59" s="36">
        <f t="shared" si="12"/>
        <v>0</v>
      </c>
      <c r="Q59" s="43">
        <f t="shared" si="13"/>
        <v>0</v>
      </c>
    </row>
    <row r="60" spans="1:17" ht="12.75" customHeight="1" x14ac:dyDescent="0.25">
      <c r="A60" s="18" t="s">
        <v>114</v>
      </c>
      <c r="B60" s="4" t="s">
        <v>115</v>
      </c>
      <c r="C60" s="42">
        <v>0</v>
      </c>
      <c r="D60" s="42">
        <v>0</v>
      </c>
      <c r="E60" s="42">
        <v>0</v>
      </c>
      <c r="F60" s="42">
        <f t="shared" si="14"/>
        <v>0</v>
      </c>
      <c r="G60" s="42">
        <v>7200</v>
      </c>
      <c r="H60" s="42">
        <v>7200</v>
      </c>
      <c r="I60" s="42">
        <f t="shared" si="9"/>
        <v>0</v>
      </c>
      <c r="J60" s="42">
        <f>IF(ISBLANK(Projection!P57), "", Projection!P57)</f>
        <v>7200</v>
      </c>
      <c r="K60" s="42">
        <f>IF(ISBLANK('Committed Cost'!P57), "", 'Committed Cost'!P57)</f>
        <v>6840.12</v>
      </c>
      <c r="L60" s="36">
        <f t="shared" si="10"/>
        <v>0</v>
      </c>
      <c r="M60" s="42">
        <f t="shared" si="11"/>
        <v>-6840.12</v>
      </c>
      <c r="N60" s="42">
        <f>IF(ISBLANK(Accrual!P57), "", Accrual!P57)</f>
        <v>0</v>
      </c>
      <c r="O60" s="42">
        <f>IF(ISBLANK('Cash Flow'!P57), "",'Cash Flow'!P57)</f>
        <v>0</v>
      </c>
      <c r="P60" s="36">
        <f t="shared" si="12"/>
        <v>0</v>
      </c>
      <c r="Q60" s="43">
        <f t="shared" si="13"/>
        <v>6840.12</v>
      </c>
    </row>
    <row r="61" spans="1:17" ht="12.75" hidden="1" customHeight="1" x14ac:dyDescent="0.25">
      <c r="A61" s="18" t="s">
        <v>116</v>
      </c>
      <c r="B61" s="4" t="s">
        <v>117</v>
      </c>
      <c r="C61" s="42">
        <v>0</v>
      </c>
      <c r="D61" s="42">
        <v>0</v>
      </c>
      <c r="E61" s="42">
        <v>0</v>
      </c>
      <c r="F61" s="42">
        <f t="shared" si="14"/>
        <v>0</v>
      </c>
      <c r="G61" s="42">
        <v>0</v>
      </c>
      <c r="H61" s="42">
        <v>0</v>
      </c>
      <c r="I61" s="42">
        <f t="shared" si="9"/>
        <v>0</v>
      </c>
      <c r="J61" s="42">
        <f>IF(ISBLANK(Projection!P58), "", Projection!P58)</f>
        <v>0</v>
      </c>
      <c r="K61" s="42">
        <f>IF(ISBLANK('Committed Cost'!P58), "", 'Committed Cost'!P58)</f>
        <v>0</v>
      </c>
      <c r="L61" s="36">
        <f t="shared" si="10"/>
        <v>0</v>
      </c>
      <c r="M61" s="42">
        <f t="shared" si="11"/>
        <v>0</v>
      </c>
      <c r="N61" s="42">
        <f>IF(ISBLANK(Accrual!P58), "", Accrual!P58)</f>
        <v>0</v>
      </c>
      <c r="O61" s="42">
        <f>IF(ISBLANK('Cash Flow'!P58), "",'Cash Flow'!P58)</f>
        <v>0</v>
      </c>
      <c r="P61" s="36">
        <f t="shared" si="12"/>
        <v>0</v>
      </c>
      <c r="Q61" s="43">
        <f t="shared" si="13"/>
        <v>0</v>
      </c>
    </row>
    <row r="62" spans="1:17" ht="12.75" hidden="1" customHeight="1" x14ac:dyDescent="0.25">
      <c r="A62" s="18" t="s">
        <v>118</v>
      </c>
      <c r="B62" s="4" t="s">
        <v>119</v>
      </c>
      <c r="C62" s="42">
        <v>0</v>
      </c>
      <c r="D62" s="42">
        <v>0</v>
      </c>
      <c r="E62" s="42">
        <v>0</v>
      </c>
      <c r="F62" s="42">
        <f t="shared" si="14"/>
        <v>0</v>
      </c>
      <c r="G62" s="42">
        <v>0</v>
      </c>
      <c r="H62" s="42">
        <v>0</v>
      </c>
      <c r="I62" s="42">
        <f t="shared" si="9"/>
        <v>0</v>
      </c>
      <c r="J62" s="42">
        <f>IF(ISBLANK(Projection!P59), "", Projection!P59)</f>
        <v>0</v>
      </c>
      <c r="K62" s="42">
        <f>IF(ISBLANK('Committed Cost'!P59), "", 'Committed Cost'!P59)</f>
        <v>0</v>
      </c>
      <c r="L62" s="36">
        <f t="shared" si="10"/>
        <v>0</v>
      </c>
      <c r="M62" s="42">
        <f t="shared" si="11"/>
        <v>0</v>
      </c>
      <c r="N62" s="42">
        <f>IF(ISBLANK(Accrual!P59), "", Accrual!P59)</f>
        <v>0</v>
      </c>
      <c r="O62" s="42">
        <f>IF(ISBLANK('Cash Flow'!P59), "",'Cash Flow'!P59)</f>
        <v>0</v>
      </c>
      <c r="P62" s="36">
        <f t="shared" si="12"/>
        <v>0</v>
      </c>
      <c r="Q62" s="43">
        <f t="shared" si="13"/>
        <v>0</v>
      </c>
    </row>
    <row r="63" spans="1:17" ht="12.75" hidden="1" customHeight="1" x14ac:dyDescent="0.25">
      <c r="A63" s="18" t="s">
        <v>120</v>
      </c>
      <c r="B63" s="4" t="s">
        <v>121</v>
      </c>
      <c r="C63" s="42">
        <v>0</v>
      </c>
      <c r="D63" s="42">
        <v>0</v>
      </c>
      <c r="E63" s="42">
        <v>0</v>
      </c>
      <c r="F63" s="42">
        <f t="shared" si="14"/>
        <v>0</v>
      </c>
      <c r="G63" s="42">
        <v>0</v>
      </c>
      <c r="H63" s="42">
        <v>0</v>
      </c>
      <c r="I63" s="42">
        <f t="shared" si="9"/>
        <v>0</v>
      </c>
      <c r="J63" s="42">
        <f>IF(ISBLANK(Projection!P60), "", Projection!P60)</f>
        <v>0</v>
      </c>
      <c r="K63" s="42">
        <f>IF(ISBLANK('Committed Cost'!P60), "", 'Committed Cost'!P60)</f>
        <v>0</v>
      </c>
      <c r="L63" s="36">
        <f t="shared" si="10"/>
        <v>0</v>
      </c>
      <c r="M63" s="42">
        <f t="shared" si="11"/>
        <v>0</v>
      </c>
      <c r="N63" s="42">
        <f>IF(ISBLANK(Accrual!P60), "", Accrual!P60)</f>
        <v>0</v>
      </c>
      <c r="O63" s="42">
        <f>IF(ISBLANK('Cash Flow'!P60), "",'Cash Flow'!P60)</f>
        <v>0</v>
      </c>
      <c r="P63" s="36">
        <f t="shared" si="12"/>
        <v>0</v>
      </c>
      <c r="Q63" s="43">
        <f t="shared" si="13"/>
        <v>0</v>
      </c>
    </row>
    <row r="64" spans="1:17" ht="12.75" hidden="1" customHeight="1" x14ac:dyDescent="0.25">
      <c r="A64" s="18" t="s">
        <v>122</v>
      </c>
      <c r="B64" s="4" t="s">
        <v>123</v>
      </c>
      <c r="C64" s="42">
        <v>0</v>
      </c>
      <c r="D64" s="42">
        <v>0</v>
      </c>
      <c r="E64" s="42">
        <v>0</v>
      </c>
      <c r="F64" s="42">
        <f t="shared" si="14"/>
        <v>0</v>
      </c>
      <c r="G64" s="42">
        <v>0</v>
      </c>
      <c r="H64" s="42">
        <v>0</v>
      </c>
      <c r="I64" s="42">
        <f t="shared" si="9"/>
        <v>0</v>
      </c>
      <c r="J64" s="42">
        <f>IF(ISBLANK(Projection!P61), "", Projection!P61)</f>
        <v>0</v>
      </c>
      <c r="K64" s="42">
        <f>IF(ISBLANK('Committed Cost'!P61), "", 'Committed Cost'!P61)</f>
        <v>0</v>
      </c>
      <c r="L64" s="36">
        <f t="shared" si="10"/>
        <v>0</v>
      </c>
      <c r="M64" s="42">
        <f t="shared" si="11"/>
        <v>0</v>
      </c>
      <c r="N64" s="42">
        <f>IF(ISBLANK(Accrual!P61), "", Accrual!P61)</f>
        <v>0</v>
      </c>
      <c r="O64" s="42">
        <f>IF(ISBLANK('Cash Flow'!P61), "",'Cash Flow'!P61)</f>
        <v>0</v>
      </c>
      <c r="P64" s="36">
        <f t="shared" si="12"/>
        <v>0</v>
      </c>
      <c r="Q64" s="43">
        <f t="shared" si="13"/>
        <v>0</v>
      </c>
    </row>
    <row r="65" spans="1:17" ht="12.75" hidden="1" customHeight="1" x14ac:dyDescent="0.25">
      <c r="A65" s="18" t="s">
        <v>124</v>
      </c>
      <c r="B65" s="4" t="s">
        <v>125</v>
      </c>
      <c r="C65" s="42">
        <v>0</v>
      </c>
      <c r="D65" s="42">
        <v>0</v>
      </c>
      <c r="E65" s="42">
        <v>0</v>
      </c>
      <c r="F65" s="42">
        <f t="shared" si="14"/>
        <v>0</v>
      </c>
      <c r="G65" s="42">
        <v>0</v>
      </c>
      <c r="H65" s="42">
        <v>0</v>
      </c>
      <c r="I65" s="42">
        <f t="shared" si="9"/>
        <v>0</v>
      </c>
      <c r="J65" s="42">
        <f>IF(ISBLANK(Projection!P62), "", Projection!P62)</f>
        <v>0</v>
      </c>
      <c r="K65" s="42">
        <f>IF(ISBLANK('Committed Cost'!P62), "", 'Committed Cost'!P62)</f>
        <v>0</v>
      </c>
      <c r="L65" s="36">
        <f t="shared" si="10"/>
        <v>0</v>
      </c>
      <c r="M65" s="42">
        <f t="shared" si="11"/>
        <v>0</v>
      </c>
      <c r="N65" s="42">
        <f>IF(ISBLANK(Accrual!P62), "", Accrual!P62)</f>
        <v>0</v>
      </c>
      <c r="O65" s="42">
        <f>IF(ISBLANK('Cash Flow'!P62), "",'Cash Flow'!P62)</f>
        <v>0</v>
      </c>
      <c r="P65" s="36">
        <f t="shared" si="12"/>
        <v>0</v>
      </c>
      <c r="Q65" s="43">
        <f t="shared" si="13"/>
        <v>0</v>
      </c>
    </row>
    <row r="66" spans="1:17" ht="12.75" hidden="1" customHeight="1" x14ac:dyDescent="0.25">
      <c r="A66" s="18" t="s">
        <v>126</v>
      </c>
      <c r="B66" s="4" t="s">
        <v>127</v>
      </c>
      <c r="C66" s="42">
        <v>0</v>
      </c>
      <c r="D66" s="42">
        <v>0</v>
      </c>
      <c r="E66" s="42">
        <v>0</v>
      </c>
      <c r="F66" s="42">
        <f t="shared" si="14"/>
        <v>0</v>
      </c>
      <c r="G66" s="42">
        <v>0</v>
      </c>
      <c r="H66" s="42">
        <v>0</v>
      </c>
      <c r="I66" s="42">
        <f t="shared" si="9"/>
        <v>0</v>
      </c>
      <c r="J66" s="42">
        <f>IF(ISBLANK(Projection!P63), "", Projection!P63)</f>
        <v>0</v>
      </c>
      <c r="K66" s="42">
        <f>IF(ISBLANK('Committed Cost'!P63), "", 'Committed Cost'!P63)</f>
        <v>0</v>
      </c>
      <c r="L66" s="36">
        <f t="shared" si="10"/>
        <v>0</v>
      </c>
      <c r="M66" s="42">
        <f t="shared" si="11"/>
        <v>0</v>
      </c>
      <c r="N66" s="42">
        <f>IF(ISBLANK(Accrual!P63), "", Accrual!P63)</f>
        <v>0</v>
      </c>
      <c r="O66" s="42">
        <f>IF(ISBLANK('Cash Flow'!P63), "",'Cash Flow'!P63)</f>
        <v>0</v>
      </c>
      <c r="P66" s="36">
        <f t="shared" si="12"/>
        <v>0</v>
      </c>
      <c r="Q66" s="43">
        <f t="shared" si="13"/>
        <v>0</v>
      </c>
    </row>
    <row r="67" spans="1:17" ht="12.75" hidden="1" customHeight="1" x14ac:dyDescent="0.25">
      <c r="A67" s="18" t="s">
        <v>128</v>
      </c>
      <c r="B67" s="4" t="s">
        <v>129</v>
      </c>
      <c r="C67" s="42">
        <v>0</v>
      </c>
      <c r="D67" s="42">
        <v>0</v>
      </c>
      <c r="E67" s="42">
        <v>0</v>
      </c>
      <c r="F67" s="42">
        <f t="shared" si="14"/>
        <v>0</v>
      </c>
      <c r="G67" s="42">
        <v>0</v>
      </c>
      <c r="H67" s="42">
        <v>0</v>
      </c>
      <c r="I67" s="42">
        <f t="shared" si="9"/>
        <v>0</v>
      </c>
      <c r="J67" s="42">
        <f>IF(ISBLANK(Projection!P64), "", Projection!P64)</f>
        <v>0</v>
      </c>
      <c r="K67" s="42">
        <f>IF(ISBLANK('Committed Cost'!P64), "", 'Committed Cost'!P64)</f>
        <v>0</v>
      </c>
      <c r="L67" s="36">
        <f t="shared" si="10"/>
        <v>0</v>
      </c>
      <c r="M67" s="42">
        <f t="shared" si="11"/>
        <v>0</v>
      </c>
      <c r="N67" s="42">
        <f>IF(ISBLANK(Accrual!P64), "", Accrual!P64)</f>
        <v>0</v>
      </c>
      <c r="O67" s="42">
        <f>IF(ISBLANK('Cash Flow'!P64), "",'Cash Flow'!P64)</f>
        <v>0</v>
      </c>
      <c r="P67" s="36">
        <f t="shared" si="12"/>
        <v>0</v>
      </c>
      <c r="Q67" s="43">
        <f t="shared" si="13"/>
        <v>0</v>
      </c>
    </row>
    <row r="68" spans="1:17" ht="12.75" hidden="1" customHeight="1" x14ac:dyDescent="0.25">
      <c r="A68" s="18" t="s">
        <v>130</v>
      </c>
      <c r="B68" s="4" t="s">
        <v>131</v>
      </c>
      <c r="C68" s="42">
        <v>0</v>
      </c>
      <c r="D68" s="42">
        <v>0</v>
      </c>
      <c r="E68" s="42">
        <v>0</v>
      </c>
      <c r="F68" s="42">
        <f t="shared" si="14"/>
        <v>0</v>
      </c>
      <c r="G68" s="42">
        <v>0</v>
      </c>
      <c r="H68" s="42">
        <v>0</v>
      </c>
      <c r="I68" s="42">
        <f t="shared" si="9"/>
        <v>0</v>
      </c>
      <c r="J68" s="42">
        <f>IF(ISBLANK(Projection!P65), "", Projection!P65)</f>
        <v>0</v>
      </c>
      <c r="K68" s="42">
        <f>IF(ISBLANK('Committed Cost'!P65), "", 'Committed Cost'!P65)</f>
        <v>0</v>
      </c>
      <c r="L68" s="36">
        <f t="shared" si="10"/>
        <v>0</v>
      </c>
      <c r="M68" s="42">
        <f t="shared" si="11"/>
        <v>0</v>
      </c>
      <c r="N68" s="42">
        <f>IF(ISBLANK(Accrual!P65), "", Accrual!P65)</f>
        <v>0</v>
      </c>
      <c r="O68" s="42">
        <f>IF(ISBLANK('Cash Flow'!P65), "",'Cash Flow'!P65)</f>
        <v>0</v>
      </c>
      <c r="P68" s="36">
        <f t="shared" si="12"/>
        <v>0</v>
      </c>
      <c r="Q68" s="43">
        <f t="shared" si="13"/>
        <v>0</v>
      </c>
    </row>
    <row r="69" spans="1:17" ht="12.75" customHeight="1" x14ac:dyDescent="0.25">
      <c r="A69" s="18" t="s">
        <v>132</v>
      </c>
      <c r="B69" s="4" t="s">
        <v>133</v>
      </c>
      <c r="C69" s="42">
        <v>0</v>
      </c>
      <c r="D69" s="42">
        <v>0</v>
      </c>
      <c r="E69" s="42">
        <v>0</v>
      </c>
      <c r="F69" s="42">
        <f t="shared" si="14"/>
        <v>0</v>
      </c>
      <c r="G69" s="42">
        <v>800</v>
      </c>
      <c r="H69" s="42">
        <v>800</v>
      </c>
      <c r="I69" s="42">
        <f t="shared" si="9"/>
        <v>100</v>
      </c>
      <c r="J69" s="42">
        <f>IF(ISBLANK(Projection!P66), "", Projection!P66)</f>
        <v>900</v>
      </c>
      <c r="K69" s="42">
        <f>IF(ISBLANK('Committed Cost'!P66), "", 'Committed Cost'!P66)</f>
        <v>825.73189000000002</v>
      </c>
      <c r="L69" s="36">
        <f t="shared" si="10"/>
        <v>0</v>
      </c>
      <c r="M69" s="42">
        <f t="shared" si="11"/>
        <v>-825.73189000000002</v>
      </c>
      <c r="N69" s="42">
        <f>IF(ISBLANK(Accrual!P66), "", Accrual!P66)</f>
        <v>774.75648999999999</v>
      </c>
      <c r="O69" s="42">
        <f>IF(ISBLANK('Cash Flow'!P66), "",'Cash Flow'!P66)</f>
        <v>758.029</v>
      </c>
      <c r="P69" s="36">
        <f t="shared" si="12"/>
        <v>0.91800862868454791</v>
      </c>
      <c r="Q69" s="43">
        <f t="shared" si="13"/>
        <v>67.702890000000025</v>
      </c>
    </row>
    <row r="70" spans="1:17" ht="12.75" customHeight="1" x14ac:dyDescent="0.25">
      <c r="A70" s="18" t="s">
        <v>134</v>
      </c>
      <c r="B70" s="4" t="s">
        <v>135</v>
      </c>
      <c r="C70" s="42">
        <v>0</v>
      </c>
      <c r="D70" s="42">
        <v>0</v>
      </c>
      <c r="E70" s="42">
        <v>0</v>
      </c>
      <c r="F70" s="42">
        <f t="shared" si="14"/>
        <v>0</v>
      </c>
      <c r="G70" s="42">
        <v>0</v>
      </c>
      <c r="H70" s="42">
        <v>0</v>
      </c>
      <c r="I70" s="42">
        <f t="shared" si="9"/>
        <v>0</v>
      </c>
      <c r="J70" s="42">
        <f>IF(ISBLANK(Projection!P67), "", Projection!P67)</f>
        <v>0</v>
      </c>
      <c r="K70" s="42">
        <f>IF(ISBLANK('Committed Cost'!P67), "", 'Committed Cost'!P67)</f>
        <v>0</v>
      </c>
      <c r="L70" s="36">
        <f t="shared" si="10"/>
        <v>0</v>
      </c>
      <c r="M70" s="42">
        <f t="shared" si="11"/>
        <v>0</v>
      </c>
      <c r="N70" s="42">
        <f>IF(ISBLANK(Accrual!P67), "", Accrual!P67)</f>
        <v>4250.2875000000004</v>
      </c>
      <c r="O70" s="42">
        <f>IF(ISBLANK('Cash Flow'!P67), "",'Cash Flow'!P67)</f>
        <v>4250.2875000000004</v>
      </c>
      <c r="P70" s="36">
        <f t="shared" si="12"/>
        <v>0</v>
      </c>
      <c r="Q70" s="43">
        <f t="shared" si="13"/>
        <v>-4250.2875000000004</v>
      </c>
    </row>
    <row r="71" spans="1:17" ht="12.75" hidden="1" customHeight="1" x14ac:dyDescent="0.25">
      <c r="A71" s="18" t="s">
        <v>136</v>
      </c>
      <c r="B71" s="4" t="s">
        <v>137</v>
      </c>
      <c r="C71" s="42">
        <v>0</v>
      </c>
      <c r="D71" s="42">
        <v>0</v>
      </c>
      <c r="E71" s="42">
        <v>0</v>
      </c>
      <c r="F71" s="42">
        <f t="shared" si="14"/>
        <v>0</v>
      </c>
      <c r="G71" s="42">
        <v>0</v>
      </c>
      <c r="H71" s="42">
        <v>0</v>
      </c>
      <c r="I71" s="42">
        <f t="shared" si="9"/>
        <v>0</v>
      </c>
      <c r="J71" s="42">
        <f>IF(ISBLANK(Projection!P68), "", Projection!P68)</f>
        <v>0</v>
      </c>
      <c r="K71" s="42">
        <f>IF(ISBLANK('Committed Cost'!P68), "", 'Committed Cost'!P68)</f>
        <v>0</v>
      </c>
      <c r="L71" s="36">
        <f t="shared" si="10"/>
        <v>0</v>
      </c>
      <c r="M71" s="42">
        <f t="shared" si="11"/>
        <v>0</v>
      </c>
      <c r="N71" s="42">
        <f>IF(ISBLANK(Accrual!P68), "", Accrual!P68)</f>
        <v>0</v>
      </c>
      <c r="O71" s="42">
        <f>IF(ISBLANK('Cash Flow'!P68), "",'Cash Flow'!P68)</f>
        <v>0</v>
      </c>
      <c r="P71" s="36">
        <f t="shared" si="12"/>
        <v>0</v>
      </c>
      <c r="Q71" s="43">
        <f t="shared" si="13"/>
        <v>0</v>
      </c>
    </row>
    <row r="72" spans="1:17" ht="12.75" hidden="1" customHeight="1" x14ac:dyDescent="0.25">
      <c r="A72" s="18" t="s">
        <v>138</v>
      </c>
      <c r="B72" s="4" t="s">
        <v>139</v>
      </c>
      <c r="C72" s="42">
        <v>0</v>
      </c>
      <c r="D72" s="42">
        <v>0</v>
      </c>
      <c r="E72" s="42">
        <v>0</v>
      </c>
      <c r="F72" s="42">
        <f t="shared" si="14"/>
        <v>0</v>
      </c>
      <c r="G72" s="42">
        <v>0</v>
      </c>
      <c r="H72" s="42">
        <v>0</v>
      </c>
      <c r="I72" s="42">
        <f t="shared" si="9"/>
        <v>0</v>
      </c>
      <c r="J72" s="42">
        <f>IF(ISBLANK(Projection!P69), "", Projection!P69)</f>
        <v>0</v>
      </c>
      <c r="K72" s="42">
        <f>IF(ISBLANK('Committed Cost'!P69), "", 'Committed Cost'!P69)</f>
        <v>0</v>
      </c>
      <c r="L72" s="36">
        <f t="shared" si="10"/>
        <v>0</v>
      </c>
      <c r="M72" s="42">
        <f t="shared" si="11"/>
        <v>0</v>
      </c>
      <c r="N72" s="42">
        <f>IF(ISBLANK(Accrual!P69), "", Accrual!P69)</f>
        <v>0</v>
      </c>
      <c r="O72" s="42">
        <f>IF(ISBLANK('Cash Flow'!P69), "",'Cash Flow'!P69)</f>
        <v>0</v>
      </c>
      <c r="P72" s="36">
        <f t="shared" si="12"/>
        <v>0</v>
      </c>
      <c r="Q72" s="43">
        <f t="shared" si="13"/>
        <v>0</v>
      </c>
    </row>
    <row r="73" spans="1:17" ht="12.75" hidden="1" customHeight="1" x14ac:dyDescent="0.25">
      <c r="A73" s="18" t="s">
        <v>140</v>
      </c>
      <c r="B73" s="4" t="s">
        <v>141</v>
      </c>
      <c r="C73" s="42">
        <v>0</v>
      </c>
      <c r="D73" s="42">
        <v>0</v>
      </c>
      <c r="E73" s="42">
        <v>0</v>
      </c>
      <c r="F73" s="42">
        <f t="shared" si="14"/>
        <v>0</v>
      </c>
      <c r="G73" s="42">
        <v>0</v>
      </c>
      <c r="H73" s="42">
        <v>0</v>
      </c>
      <c r="I73" s="42">
        <f t="shared" si="9"/>
        <v>0</v>
      </c>
      <c r="J73" s="42">
        <f>IF(ISBLANK(Projection!P70), "", Projection!P70)</f>
        <v>0</v>
      </c>
      <c r="K73" s="42">
        <f>IF(ISBLANK('Committed Cost'!P70), "", 'Committed Cost'!P70)</f>
        <v>0</v>
      </c>
      <c r="L73" s="36">
        <f t="shared" si="10"/>
        <v>0</v>
      </c>
      <c r="M73" s="42">
        <f t="shared" si="11"/>
        <v>0</v>
      </c>
      <c r="N73" s="42">
        <f>IF(ISBLANK(Accrual!P70), "", Accrual!P70)</f>
        <v>0</v>
      </c>
      <c r="O73" s="42">
        <f>IF(ISBLANK('Cash Flow'!P70), "",'Cash Flow'!P70)</f>
        <v>0</v>
      </c>
      <c r="P73" s="36">
        <f t="shared" si="12"/>
        <v>0</v>
      </c>
      <c r="Q73" s="43">
        <f t="shared" si="13"/>
        <v>0</v>
      </c>
    </row>
    <row r="74" spans="1:17" ht="12.75" hidden="1" customHeight="1" x14ac:dyDescent="0.25">
      <c r="A74" s="18" t="s">
        <v>142</v>
      </c>
      <c r="B74" s="4" t="s">
        <v>143</v>
      </c>
      <c r="C74" s="42">
        <v>0</v>
      </c>
      <c r="D74" s="42">
        <v>0</v>
      </c>
      <c r="E74" s="42">
        <v>0</v>
      </c>
      <c r="F74" s="42">
        <f t="shared" si="14"/>
        <v>0</v>
      </c>
      <c r="G74" s="42">
        <v>0</v>
      </c>
      <c r="H74" s="42">
        <v>0</v>
      </c>
      <c r="I74" s="42">
        <f t="shared" si="9"/>
        <v>0</v>
      </c>
      <c r="J74" s="42">
        <f>IF(ISBLANK(Projection!P71), "", Projection!P71)</f>
        <v>0</v>
      </c>
      <c r="K74" s="42">
        <f>IF(ISBLANK('Committed Cost'!P71), "", 'Committed Cost'!P71)</f>
        <v>0</v>
      </c>
      <c r="L74" s="36">
        <f t="shared" si="10"/>
        <v>0</v>
      </c>
      <c r="M74" s="42">
        <f t="shared" si="11"/>
        <v>0</v>
      </c>
      <c r="N74" s="42">
        <f>IF(ISBLANK(Accrual!P71), "", Accrual!P71)</f>
        <v>0</v>
      </c>
      <c r="O74" s="42">
        <f>IF(ISBLANK('Cash Flow'!P71), "",'Cash Flow'!P71)</f>
        <v>0</v>
      </c>
      <c r="P74" s="36">
        <f t="shared" si="12"/>
        <v>0</v>
      </c>
      <c r="Q74" s="43">
        <f t="shared" si="13"/>
        <v>0</v>
      </c>
    </row>
    <row r="75" spans="1:17" ht="12.75" customHeight="1" x14ac:dyDescent="0.25">
      <c r="A75" s="18">
        <v>2.2999999999999998</v>
      </c>
      <c r="B75" s="4" t="s">
        <v>144</v>
      </c>
      <c r="C75" s="42"/>
      <c r="D75" s="42"/>
      <c r="E75" s="42"/>
      <c r="F75" s="42"/>
      <c r="G75" s="42"/>
      <c r="H75" s="42"/>
      <c r="I75" s="42" t="str">
        <f t="shared" si="9"/>
        <v/>
      </c>
      <c r="J75" s="42" t="str">
        <f>IF(ISBLANK(Projection!P72), "", Projection!P72)</f>
        <v/>
      </c>
      <c r="K75" s="42" t="str">
        <f>IF(ISBLANK('Committed Cost'!P72), "", 'Committed Cost'!P72)</f>
        <v/>
      </c>
      <c r="L75" s="36" t="str">
        <f t="shared" si="10"/>
        <v/>
      </c>
      <c r="M75" s="42" t="str">
        <f t="shared" si="11"/>
        <v/>
      </c>
      <c r="N75" s="42" t="str">
        <f>IF(ISBLANK(Accrual!P72), "", Accrual!P72)</f>
        <v/>
      </c>
      <c r="O75" s="42" t="str">
        <f>IF(ISBLANK('Cash Flow'!P72), "",'Cash Flow'!P72)</f>
        <v/>
      </c>
      <c r="P75" s="36" t="str">
        <f t="shared" si="12"/>
        <v/>
      </c>
      <c r="Q75" s="43" t="str">
        <f t="shared" si="13"/>
        <v/>
      </c>
    </row>
    <row r="76" spans="1:17" ht="12.75" customHeight="1" x14ac:dyDescent="0.25">
      <c r="A76" s="18" t="s">
        <v>145</v>
      </c>
      <c r="B76" s="4" t="s">
        <v>146</v>
      </c>
      <c r="C76" s="42">
        <v>0</v>
      </c>
      <c r="D76" s="42">
        <v>0</v>
      </c>
      <c r="E76" s="42">
        <v>0</v>
      </c>
      <c r="F76" s="42">
        <f t="shared" ref="F76:F84" si="15">D76+E76</f>
        <v>0</v>
      </c>
      <c r="G76" s="42">
        <v>2855</v>
      </c>
      <c r="H76" s="42">
        <v>2855</v>
      </c>
      <c r="I76" s="42">
        <f t="shared" si="9"/>
        <v>0</v>
      </c>
      <c r="J76" s="42">
        <f>IF(ISBLANK(Projection!P73), "", Projection!P73)</f>
        <v>2855</v>
      </c>
      <c r="K76" s="42">
        <f>IF(ISBLANK('Committed Cost'!P73), "", 'Committed Cost'!P73)</f>
        <v>961.54549999999995</v>
      </c>
      <c r="L76" s="36">
        <f t="shared" si="10"/>
        <v>0</v>
      </c>
      <c r="M76" s="42">
        <f t="shared" si="11"/>
        <v>-961.54549999999995</v>
      </c>
      <c r="N76" s="42">
        <f>IF(ISBLANK(Accrual!P73), "", Accrual!P73)</f>
        <v>961.54550000000006</v>
      </c>
      <c r="O76" s="42">
        <f>IF(ISBLANK('Cash Flow'!P73), "",'Cash Flow'!P73)</f>
        <v>961.54549999999995</v>
      </c>
      <c r="P76" s="36">
        <f t="shared" si="12"/>
        <v>1</v>
      </c>
      <c r="Q76" s="43">
        <f t="shared" si="13"/>
        <v>0</v>
      </c>
    </row>
    <row r="77" spans="1:17" ht="12.75" customHeight="1" x14ac:dyDescent="0.25">
      <c r="A77" s="18" t="s">
        <v>147</v>
      </c>
      <c r="B77" s="4" t="s">
        <v>148</v>
      </c>
      <c r="C77" s="42">
        <v>0</v>
      </c>
      <c r="D77" s="42">
        <v>0</v>
      </c>
      <c r="E77" s="42">
        <v>0</v>
      </c>
      <c r="F77" s="42">
        <f t="shared" si="15"/>
        <v>0</v>
      </c>
      <c r="G77" s="42">
        <v>4984</v>
      </c>
      <c r="H77" s="42">
        <v>4984</v>
      </c>
      <c r="I77" s="42">
        <f t="shared" si="9"/>
        <v>0</v>
      </c>
      <c r="J77" s="42">
        <f>IF(ISBLANK(Projection!P74), "", Projection!P74)</f>
        <v>4984</v>
      </c>
      <c r="K77" s="42">
        <f>IF(ISBLANK('Committed Cost'!P74), "", 'Committed Cost'!P74)</f>
        <v>1406.3078100000002</v>
      </c>
      <c r="L77" s="36">
        <f t="shared" si="10"/>
        <v>0</v>
      </c>
      <c r="M77" s="42">
        <f t="shared" si="11"/>
        <v>-1406.3078100000002</v>
      </c>
      <c r="N77" s="42">
        <f>IF(ISBLANK(Accrual!P74), "", Accrual!P74)</f>
        <v>702.57281000000012</v>
      </c>
      <c r="O77" s="42">
        <f>IF(ISBLANK('Cash Flow'!P74), "",'Cash Flow'!P74)</f>
        <v>203.82</v>
      </c>
      <c r="P77" s="36">
        <f t="shared" si="12"/>
        <v>0.14493270857963875</v>
      </c>
      <c r="Q77" s="43">
        <f t="shared" si="13"/>
        <v>1202.4878100000003</v>
      </c>
    </row>
    <row r="78" spans="1:17" ht="12.75" customHeight="1" x14ac:dyDescent="0.25">
      <c r="A78" s="18" t="s">
        <v>149</v>
      </c>
      <c r="B78" s="4" t="s">
        <v>150</v>
      </c>
      <c r="C78" s="42">
        <v>0</v>
      </c>
      <c r="D78" s="42">
        <v>0</v>
      </c>
      <c r="E78" s="42">
        <v>0</v>
      </c>
      <c r="F78" s="42">
        <f t="shared" si="15"/>
        <v>0</v>
      </c>
      <c r="G78" s="42">
        <v>626</v>
      </c>
      <c r="H78" s="42">
        <v>626</v>
      </c>
      <c r="I78" s="42">
        <f t="shared" si="9"/>
        <v>0</v>
      </c>
      <c r="J78" s="42">
        <f>IF(ISBLANK(Projection!P75), "", Projection!P75)</f>
        <v>626</v>
      </c>
      <c r="K78" s="42">
        <f>IF(ISBLANK('Committed Cost'!P75), "", 'Committed Cost'!P75)</f>
        <v>39.826899999999995</v>
      </c>
      <c r="L78" s="36">
        <f t="shared" si="10"/>
        <v>0</v>
      </c>
      <c r="M78" s="42">
        <f t="shared" si="11"/>
        <v>-39.826899999999995</v>
      </c>
      <c r="N78" s="42">
        <f>IF(ISBLANK(Accrual!P75), "", Accrual!P75)</f>
        <v>39.826899999999995</v>
      </c>
      <c r="O78" s="42">
        <f>IF(ISBLANK('Cash Flow'!P75), "",'Cash Flow'!P75)</f>
        <v>39.826899999999995</v>
      </c>
      <c r="P78" s="36">
        <f t="shared" si="12"/>
        <v>1</v>
      </c>
      <c r="Q78" s="43">
        <f t="shared" si="13"/>
        <v>0</v>
      </c>
    </row>
    <row r="79" spans="1:17" ht="12.75" hidden="1" customHeight="1" x14ac:dyDescent="0.25">
      <c r="A79" s="18" t="s">
        <v>151</v>
      </c>
      <c r="B79" s="4" t="s">
        <v>152</v>
      </c>
      <c r="C79" s="42">
        <v>0</v>
      </c>
      <c r="D79" s="42">
        <v>0</v>
      </c>
      <c r="E79" s="42">
        <v>0</v>
      </c>
      <c r="F79" s="42">
        <f t="shared" si="15"/>
        <v>0</v>
      </c>
      <c r="G79" s="42">
        <v>0</v>
      </c>
      <c r="H79" s="42">
        <v>0</v>
      </c>
      <c r="I79" s="42">
        <f t="shared" si="9"/>
        <v>0</v>
      </c>
      <c r="J79" s="42">
        <f>IF(ISBLANK(Projection!P76), "", Projection!P76)</f>
        <v>0</v>
      </c>
      <c r="K79" s="42">
        <f>IF(ISBLANK('Committed Cost'!P76), "", 'Committed Cost'!P76)</f>
        <v>0</v>
      </c>
      <c r="L79" s="36">
        <f t="shared" si="10"/>
        <v>0</v>
      </c>
      <c r="M79" s="42">
        <f t="shared" si="11"/>
        <v>0</v>
      </c>
      <c r="N79" s="42">
        <f>IF(ISBLANK(Accrual!P76), "", Accrual!P76)</f>
        <v>0</v>
      </c>
      <c r="O79" s="42">
        <f>IF(ISBLANK('Cash Flow'!P76), "",'Cash Flow'!P76)</f>
        <v>0</v>
      </c>
      <c r="P79" s="36">
        <f t="shared" si="12"/>
        <v>0</v>
      </c>
      <c r="Q79" s="43">
        <f t="shared" si="13"/>
        <v>0</v>
      </c>
    </row>
    <row r="80" spans="1:17" ht="12.75" hidden="1" customHeight="1" x14ac:dyDescent="0.25">
      <c r="A80" s="18" t="s">
        <v>153</v>
      </c>
      <c r="B80" s="4" t="s">
        <v>154</v>
      </c>
      <c r="C80" s="42">
        <v>0</v>
      </c>
      <c r="D80" s="42">
        <v>0</v>
      </c>
      <c r="E80" s="42">
        <v>0</v>
      </c>
      <c r="F80" s="42">
        <f t="shared" si="15"/>
        <v>0</v>
      </c>
      <c r="G80" s="42">
        <v>0</v>
      </c>
      <c r="H80" s="42">
        <v>0</v>
      </c>
      <c r="I80" s="42">
        <f t="shared" ref="I80:I111" si="16">IF(H80="", "", J80-H80)</f>
        <v>0</v>
      </c>
      <c r="J80" s="42">
        <f>IF(ISBLANK(Projection!P77), "", Projection!P77)</f>
        <v>0</v>
      </c>
      <c r="K80" s="42">
        <f>IF(ISBLANK('Committed Cost'!P77), "", 'Committed Cost'!P77)</f>
        <v>0</v>
      </c>
      <c r="L80" s="36">
        <f t="shared" ref="L80:L111" si="17">IFERROR(IF(ISBLANK(F80), "", K80/F80), 0)</f>
        <v>0</v>
      </c>
      <c r="M80" s="42">
        <f t="shared" ref="M80:M111" si="18">IF(F80="", "", F80-K80)</f>
        <v>0</v>
      </c>
      <c r="N80" s="42">
        <f>IF(ISBLANK(Accrual!P77), "", Accrual!P77)</f>
        <v>0</v>
      </c>
      <c r="O80" s="42">
        <f>IF(ISBLANK('Cash Flow'!P77), "",'Cash Flow'!P77)</f>
        <v>0</v>
      </c>
      <c r="P80" s="36">
        <f t="shared" ref="P80:P111" si="19">IFERROR(IF(O80="", "", O80/K80), 0)</f>
        <v>0</v>
      </c>
      <c r="Q80" s="43">
        <f t="shared" ref="Q80:Q111" si="20">IF(K80="", "", K80-O80)</f>
        <v>0</v>
      </c>
    </row>
    <row r="81" spans="1:17" ht="12.75" customHeight="1" x14ac:dyDescent="0.25">
      <c r="A81" s="18" t="s">
        <v>155</v>
      </c>
      <c r="B81" s="4" t="s">
        <v>156</v>
      </c>
      <c r="C81" s="42">
        <v>0</v>
      </c>
      <c r="D81" s="42">
        <v>0</v>
      </c>
      <c r="E81" s="42">
        <v>0</v>
      </c>
      <c r="F81" s="42">
        <f t="shared" si="15"/>
        <v>0</v>
      </c>
      <c r="G81" s="42">
        <v>0</v>
      </c>
      <c r="H81" s="42">
        <v>0</v>
      </c>
      <c r="I81" s="42">
        <f t="shared" si="16"/>
        <v>0</v>
      </c>
      <c r="J81" s="42">
        <f>IF(ISBLANK(Projection!P78), "", Projection!P78)</f>
        <v>0</v>
      </c>
      <c r="K81" s="42">
        <f>IF(ISBLANK('Committed Cost'!P78), "", 'Committed Cost'!P78)</f>
        <v>0</v>
      </c>
      <c r="L81" s="36">
        <f t="shared" si="17"/>
        <v>0</v>
      </c>
      <c r="M81" s="42">
        <f t="shared" si="18"/>
        <v>0</v>
      </c>
      <c r="N81" s="42">
        <f>IF(ISBLANK(Accrual!P78), "", Accrual!P78)</f>
        <v>0</v>
      </c>
      <c r="O81" s="42">
        <f>IF(ISBLANK('Cash Flow'!P78), "",'Cash Flow'!P78)</f>
        <v>0</v>
      </c>
      <c r="P81" s="36">
        <f t="shared" si="19"/>
        <v>0</v>
      </c>
      <c r="Q81" s="43">
        <f t="shared" si="20"/>
        <v>0</v>
      </c>
    </row>
    <row r="82" spans="1:17" ht="12.75" hidden="1" customHeight="1" x14ac:dyDescent="0.25">
      <c r="A82" s="18" t="s">
        <v>157</v>
      </c>
      <c r="B82" s="4" t="s">
        <v>158</v>
      </c>
      <c r="C82" s="42">
        <v>0</v>
      </c>
      <c r="D82" s="42">
        <v>0</v>
      </c>
      <c r="E82" s="42">
        <v>0</v>
      </c>
      <c r="F82" s="42">
        <f t="shared" si="15"/>
        <v>0</v>
      </c>
      <c r="G82" s="42">
        <v>0</v>
      </c>
      <c r="H82" s="42">
        <v>0</v>
      </c>
      <c r="I82" s="42">
        <f t="shared" si="16"/>
        <v>0</v>
      </c>
      <c r="J82" s="42">
        <f>IF(ISBLANK(Projection!P79), "", Projection!P79)</f>
        <v>0</v>
      </c>
      <c r="K82" s="42">
        <f>IF(ISBLANK('Committed Cost'!P79), "", 'Committed Cost'!P79)</f>
        <v>0</v>
      </c>
      <c r="L82" s="36">
        <f t="shared" si="17"/>
        <v>0</v>
      </c>
      <c r="M82" s="42">
        <f t="shared" si="18"/>
        <v>0</v>
      </c>
      <c r="N82" s="42">
        <f>IF(ISBLANK(Accrual!P79), "", Accrual!P79)</f>
        <v>0</v>
      </c>
      <c r="O82" s="42">
        <f>IF(ISBLANK('Cash Flow'!P79), "",'Cash Flow'!P79)</f>
        <v>0</v>
      </c>
      <c r="P82" s="36">
        <f t="shared" si="19"/>
        <v>0</v>
      </c>
      <c r="Q82" s="43">
        <f t="shared" si="20"/>
        <v>0</v>
      </c>
    </row>
    <row r="83" spans="1:17" ht="12.75" hidden="1" customHeight="1" x14ac:dyDescent="0.25">
      <c r="A83" s="18" t="s">
        <v>159</v>
      </c>
      <c r="B83" s="4" t="s">
        <v>160</v>
      </c>
      <c r="C83" s="42">
        <v>0</v>
      </c>
      <c r="D83" s="42">
        <v>0</v>
      </c>
      <c r="E83" s="42">
        <v>0</v>
      </c>
      <c r="F83" s="42">
        <f t="shared" si="15"/>
        <v>0</v>
      </c>
      <c r="G83" s="42">
        <v>0</v>
      </c>
      <c r="H83" s="42">
        <v>0</v>
      </c>
      <c r="I83" s="42">
        <f t="shared" si="16"/>
        <v>0</v>
      </c>
      <c r="J83" s="42">
        <f>IF(ISBLANK(Projection!P80), "", Projection!P80)</f>
        <v>0</v>
      </c>
      <c r="K83" s="42">
        <f>IF(ISBLANK('Committed Cost'!P80), "", 'Committed Cost'!P80)</f>
        <v>0</v>
      </c>
      <c r="L83" s="36">
        <f t="shared" si="17"/>
        <v>0</v>
      </c>
      <c r="M83" s="42">
        <f t="shared" si="18"/>
        <v>0</v>
      </c>
      <c r="N83" s="42">
        <f>IF(ISBLANK(Accrual!P80), "", Accrual!P80)</f>
        <v>0</v>
      </c>
      <c r="O83" s="42">
        <f>IF(ISBLANK('Cash Flow'!P80), "",'Cash Flow'!P80)</f>
        <v>0</v>
      </c>
      <c r="P83" s="36">
        <f t="shared" si="19"/>
        <v>0</v>
      </c>
      <c r="Q83" s="43">
        <f t="shared" si="20"/>
        <v>0</v>
      </c>
    </row>
    <row r="84" spans="1:17" ht="12.75" hidden="1" customHeight="1" x14ac:dyDescent="0.25">
      <c r="A84" s="18" t="s">
        <v>161</v>
      </c>
      <c r="B84" s="4" t="s">
        <v>162</v>
      </c>
      <c r="C84" s="42">
        <v>0</v>
      </c>
      <c r="D84" s="42">
        <v>0</v>
      </c>
      <c r="E84" s="42">
        <v>0</v>
      </c>
      <c r="F84" s="42">
        <f t="shared" si="15"/>
        <v>0</v>
      </c>
      <c r="G84" s="42">
        <v>0</v>
      </c>
      <c r="H84" s="42">
        <v>0</v>
      </c>
      <c r="I84" s="42">
        <f t="shared" si="16"/>
        <v>0</v>
      </c>
      <c r="J84" s="42">
        <f>IF(ISBLANK(Projection!P81), "", Projection!P81)</f>
        <v>0</v>
      </c>
      <c r="K84" s="42">
        <f>IF(ISBLANK('Committed Cost'!P81), "", 'Committed Cost'!P81)</f>
        <v>0</v>
      </c>
      <c r="L84" s="36">
        <f t="shared" si="17"/>
        <v>0</v>
      </c>
      <c r="M84" s="42">
        <f t="shared" si="18"/>
        <v>0</v>
      </c>
      <c r="N84" s="42">
        <f>IF(ISBLANK(Accrual!P81), "", Accrual!P81)</f>
        <v>51.405059999999999</v>
      </c>
      <c r="O84" s="42">
        <f>IF(ISBLANK('Cash Flow'!P81), "",'Cash Flow'!P81)</f>
        <v>51.405059999999999</v>
      </c>
      <c r="P84" s="36">
        <f t="shared" si="19"/>
        <v>0</v>
      </c>
      <c r="Q84" s="43">
        <f t="shared" si="20"/>
        <v>-51.405059999999999</v>
      </c>
    </row>
    <row r="85" spans="1:17" ht="12.75" customHeight="1" x14ac:dyDescent="0.25">
      <c r="A85" s="18">
        <v>2.4</v>
      </c>
      <c r="B85" s="4" t="s">
        <v>163</v>
      </c>
      <c r="C85" s="42"/>
      <c r="D85" s="42"/>
      <c r="E85" s="42"/>
      <c r="F85" s="42"/>
      <c r="G85" s="42"/>
      <c r="H85" s="42"/>
      <c r="I85" s="42" t="str">
        <f t="shared" si="16"/>
        <v/>
      </c>
      <c r="J85" s="42" t="str">
        <f>IF(ISBLANK(Projection!P82), "", Projection!P82)</f>
        <v/>
      </c>
      <c r="K85" s="42" t="str">
        <f>IF(ISBLANK('Committed Cost'!P82), "", 'Committed Cost'!P82)</f>
        <v/>
      </c>
      <c r="L85" s="36" t="str">
        <f t="shared" si="17"/>
        <v/>
      </c>
      <c r="M85" s="42" t="str">
        <f t="shared" si="18"/>
        <v/>
      </c>
      <c r="N85" s="42" t="str">
        <f>IF(ISBLANK(Accrual!P82), "", Accrual!P82)</f>
        <v/>
      </c>
      <c r="O85" s="42" t="str">
        <f>IF(ISBLANK('Cash Flow'!P82), "",'Cash Flow'!P82)</f>
        <v/>
      </c>
      <c r="P85" s="36" t="str">
        <f t="shared" si="19"/>
        <v/>
      </c>
      <c r="Q85" s="43" t="str">
        <f t="shared" si="20"/>
        <v/>
      </c>
    </row>
    <row r="86" spans="1:17" ht="12.75" customHeight="1" x14ac:dyDescent="0.25">
      <c r="A86" s="18" t="s">
        <v>164</v>
      </c>
      <c r="B86" s="4" t="s">
        <v>165</v>
      </c>
      <c r="C86" s="42">
        <v>0</v>
      </c>
      <c r="D86" s="42">
        <v>0</v>
      </c>
      <c r="E86" s="42">
        <v>0</v>
      </c>
      <c r="F86" s="42">
        <f t="shared" ref="F86:F95" si="21">D86+E86</f>
        <v>0</v>
      </c>
      <c r="G86" s="42">
        <v>528341</v>
      </c>
      <c r="H86" s="42">
        <v>528341</v>
      </c>
      <c r="I86" s="42">
        <f t="shared" si="16"/>
        <v>-100</v>
      </c>
      <c r="J86" s="42">
        <f>IF(ISBLANK(Projection!P83), "", Projection!P83)</f>
        <v>528241</v>
      </c>
      <c r="K86" s="42">
        <f>IF(ISBLANK('Committed Cost'!P83), "", 'Committed Cost'!P83)</f>
        <v>307799.49599999998</v>
      </c>
      <c r="L86" s="36">
        <f t="shared" si="17"/>
        <v>0</v>
      </c>
      <c r="M86" s="42">
        <f t="shared" si="18"/>
        <v>-307799.49599999998</v>
      </c>
      <c r="N86" s="42">
        <f>IF(ISBLANK(Accrual!P83), "", Accrual!P83)</f>
        <v>48937.791840000005</v>
      </c>
      <c r="O86" s="42">
        <f>IF(ISBLANK('Cash Flow'!P83), "",'Cash Flow'!P83)</f>
        <v>16902.84635</v>
      </c>
      <c r="P86" s="36">
        <f t="shared" si="19"/>
        <v>5.4915120296363321E-2</v>
      </c>
      <c r="Q86" s="43">
        <f t="shared" si="20"/>
        <v>290896.64964999998</v>
      </c>
    </row>
    <row r="87" spans="1:17" ht="12.75" customHeight="1" x14ac:dyDescent="0.25">
      <c r="A87" s="18" t="s">
        <v>166</v>
      </c>
      <c r="B87" s="4" t="s">
        <v>167</v>
      </c>
      <c r="C87" s="42">
        <v>0</v>
      </c>
      <c r="D87" s="42">
        <v>0</v>
      </c>
      <c r="E87" s="42">
        <v>0</v>
      </c>
      <c r="F87" s="42">
        <f t="shared" si="21"/>
        <v>0</v>
      </c>
      <c r="G87" s="42">
        <v>115776</v>
      </c>
      <c r="H87" s="42">
        <v>115776</v>
      </c>
      <c r="I87" s="42">
        <f t="shared" si="16"/>
        <v>0</v>
      </c>
      <c r="J87" s="42">
        <f>IF(ISBLANK(Projection!P84), "", Projection!P84)</f>
        <v>115776</v>
      </c>
      <c r="K87" s="42">
        <f>IF(ISBLANK('Committed Cost'!P84), "", 'Committed Cost'!P84)</f>
        <v>1201.8143</v>
      </c>
      <c r="L87" s="36">
        <f t="shared" si="17"/>
        <v>0</v>
      </c>
      <c r="M87" s="42">
        <f t="shared" si="18"/>
        <v>-1201.8143</v>
      </c>
      <c r="N87" s="42">
        <f>IF(ISBLANK(Accrual!P84), "", Accrual!P84)</f>
        <v>1134.4179799999999</v>
      </c>
      <c r="O87" s="42">
        <f>IF(ISBLANK('Cash Flow'!P84), "",'Cash Flow'!P84)</f>
        <v>586.27258000000006</v>
      </c>
      <c r="P87" s="36">
        <f t="shared" si="19"/>
        <v>0.48782293570645652</v>
      </c>
      <c r="Q87" s="43">
        <f t="shared" si="20"/>
        <v>615.54171999999994</v>
      </c>
    </row>
    <row r="88" spans="1:17" ht="12.75" hidden="1" customHeight="1" x14ac:dyDescent="0.25">
      <c r="A88" s="18" t="s">
        <v>168</v>
      </c>
      <c r="B88" s="4" t="s">
        <v>169</v>
      </c>
      <c r="C88" s="42">
        <v>0</v>
      </c>
      <c r="D88" s="42">
        <v>0</v>
      </c>
      <c r="E88" s="42">
        <v>0</v>
      </c>
      <c r="F88" s="42">
        <f t="shared" si="21"/>
        <v>0</v>
      </c>
      <c r="G88" s="42">
        <v>0</v>
      </c>
      <c r="H88" s="42">
        <v>0</v>
      </c>
      <c r="I88" s="42">
        <f t="shared" si="16"/>
        <v>0</v>
      </c>
      <c r="J88" s="42">
        <f>IF(ISBLANK(Projection!P85), "", Projection!P85)</f>
        <v>0</v>
      </c>
      <c r="K88" s="42">
        <f>IF(ISBLANK('Committed Cost'!P85), "", 'Committed Cost'!P85)</f>
        <v>0</v>
      </c>
      <c r="L88" s="36">
        <f t="shared" si="17"/>
        <v>0</v>
      </c>
      <c r="M88" s="42">
        <f t="shared" si="18"/>
        <v>0</v>
      </c>
      <c r="N88" s="42">
        <f>IF(ISBLANK(Accrual!P85), "", Accrual!P85)</f>
        <v>0</v>
      </c>
      <c r="O88" s="42">
        <f>IF(ISBLANK('Cash Flow'!P85), "",'Cash Flow'!P85)</f>
        <v>0</v>
      </c>
      <c r="P88" s="36">
        <f t="shared" si="19"/>
        <v>0</v>
      </c>
      <c r="Q88" s="43">
        <f t="shared" si="20"/>
        <v>0</v>
      </c>
    </row>
    <row r="89" spans="1:17" ht="12.75" customHeight="1" x14ac:dyDescent="0.25">
      <c r="A89" s="18" t="s">
        <v>170</v>
      </c>
      <c r="B89" s="4" t="s">
        <v>171</v>
      </c>
      <c r="C89" s="42">
        <v>0</v>
      </c>
      <c r="D89" s="42">
        <v>0</v>
      </c>
      <c r="E89" s="42">
        <v>0</v>
      </c>
      <c r="F89" s="42">
        <f t="shared" si="21"/>
        <v>0</v>
      </c>
      <c r="G89" s="42">
        <v>0</v>
      </c>
      <c r="H89" s="42">
        <v>0</v>
      </c>
      <c r="I89" s="42">
        <f t="shared" si="16"/>
        <v>0</v>
      </c>
      <c r="J89" s="42">
        <f>IF(ISBLANK(Projection!P86), "", Projection!P86)</f>
        <v>0</v>
      </c>
      <c r="K89" s="42">
        <f>IF(ISBLANK('Committed Cost'!P86), "", 'Committed Cost'!P86)</f>
        <v>0</v>
      </c>
      <c r="L89" s="36">
        <f t="shared" si="17"/>
        <v>0</v>
      </c>
      <c r="M89" s="42">
        <f t="shared" si="18"/>
        <v>0</v>
      </c>
      <c r="N89" s="42">
        <f>IF(ISBLANK(Accrual!P86), "", Accrual!P86)</f>
        <v>22.231999999999999</v>
      </c>
      <c r="O89" s="42">
        <f>IF(ISBLANK('Cash Flow'!P86), "",'Cash Flow'!P86)</f>
        <v>0</v>
      </c>
      <c r="P89" s="36">
        <f t="shared" si="19"/>
        <v>0</v>
      </c>
      <c r="Q89" s="43">
        <f t="shared" si="20"/>
        <v>0</v>
      </c>
    </row>
    <row r="90" spans="1:17" ht="12.75" hidden="1" customHeight="1" x14ac:dyDescent="0.25">
      <c r="A90" s="18" t="s">
        <v>172</v>
      </c>
      <c r="B90" s="4" t="s">
        <v>173</v>
      </c>
      <c r="C90" s="42">
        <v>0</v>
      </c>
      <c r="D90" s="42">
        <v>0</v>
      </c>
      <c r="E90" s="42">
        <v>0</v>
      </c>
      <c r="F90" s="42">
        <f t="shared" si="21"/>
        <v>0</v>
      </c>
      <c r="G90" s="42">
        <v>0</v>
      </c>
      <c r="H90" s="42">
        <v>0</v>
      </c>
      <c r="I90" s="42">
        <f t="shared" si="16"/>
        <v>0</v>
      </c>
      <c r="J90" s="42">
        <f>IF(ISBLANK(Projection!P87), "", Projection!P87)</f>
        <v>0</v>
      </c>
      <c r="K90" s="42">
        <f>IF(ISBLANK('Committed Cost'!P87), "", 'Committed Cost'!P87)</f>
        <v>0</v>
      </c>
      <c r="L90" s="36">
        <f t="shared" si="17"/>
        <v>0</v>
      </c>
      <c r="M90" s="42">
        <f t="shared" si="18"/>
        <v>0</v>
      </c>
      <c r="N90" s="42">
        <f>IF(ISBLANK(Accrual!P87), "", Accrual!P87)</f>
        <v>0</v>
      </c>
      <c r="O90" s="42">
        <f>IF(ISBLANK('Cash Flow'!P87), "",'Cash Flow'!P87)</f>
        <v>0</v>
      </c>
      <c r="P90" s="36">
        <f t="shared" si="19"/>
        <v>0</v>
      </c>
      <c r="Q90" s="43">
        <f t="shared" si="20"/>
        <v>0</v>
      </c>
    </row>
    <row r="91" spans="1:17" ht="12.75" customHeight="1" x14ac:dyDescent="0.25">
      <c r="A91" s="18" t="s">
        <v>174</v>
      </c>
      <c r="B91" s="4" t="s">
        <v>175</v>
      </c>
      <c r="C91" s="42">
        <v>0</v>
      </c>
      <c r="D91" s="42">
        <v>0</v>
      </c>
      <c r="E91" s="42">
        <v>0</v>
      </c>
      <c r="F91" s="42">
        <f t="shared" si="21"/>
        <v>0</v>
      </c>
      <c r="G91" s="42">
        <v>0</v>
      </c>
      <c r="H91" s="42">
        <v>0</v>
      </c>
      <c r="I91" s="42">
        <f t="shared" si="16"/>
        <v>0</v>
      </c>
      <c r="J91" s="42">
        <f>IF(ISBLANK(Projection!P88), "", Projection!P88)</f>
        <v>0</v>
      </c>
      <c r="K91" s="42">
        <f>IF(ISBLANK('Committed Cost'!P88), "", 'Committed Cost'!P88)</f>
        <v>0</v>
      </c>
      <c r="L91" s="36">
        <f t="shared" si="17"/>
        <v>0</v>
      </c>
      <c r="M91" s="42">
        <f t="shared" si="18"/>
        <v>0</v>
      </c>
      <c r="N91" s="42">
        <f>IF(ISBLANK(Accrual!P88), "", Accrual!P88)</f>
        <v>0</v>
      </c>
      <c r="O91" s="42">
        <f>IF(ISBLANK('Cash Flow'!P88), "",'Cash Flow'!P88)</f>
        <v>-1640.0377700000001</v>
      </c>
      <c r="P91" s="36">
        <f t="shared" si="19"/>
        <v>0</v>
      </c>
      <c r="Q91" s="43">
        <f t="shared" si="20"/>
        <v>1640.0377700000001</v>
      </c>
    </row>
    <row r="92" spans="1:17" ht="12.75" customHeight="1" x14ac:dyDescent="0.25">
      <c r="A92" s="18" t="s">
        <v>176</v>
      </c>
      <c r="B92" s="4" t="s">
        <v>177</v>
      </c>
      <c r="C92" s="42">
        <v>0</v>
      </c>
      <c r="D92" s="42">
        <v>0</v>
      </c>
      <c r="E92" s="42">
        <v>0</v>
      </c>
      <c r="F92" s="42">
        <f t="shared" si="21"/>
        <v>0</v>
      </c>
      <c r="G92" s="42">
        <v>-18642</v>
      </c>
      <c r="H92" s="42">
        <v>-18642</v>
      </c>
      <c r="I92" s="42">
        <f t="shared" si="16"/>
        <v>0</v>
      </c>
      <c r="J92" s="42">
        <f>IF(ISBLANK(Projection!P89), "", Projection!P89)</f>
        <v>-18642</v>
      </c>
      <c r="K92" s="42">
        <f>IF(ISBLANK('Committed Cost'!P89), "", 'Committed Cost'!P89)</f>
        <v>0</v>
      </c>
      <c r="L92" s="36">
        <f t="shared" si="17"/>
        <v>0</v>
      </c>
      <c r="M92" s="42">
        <f t="shared" si="18"/>
        <v>0</v>
      </c>
      <c r="N92" s="42">
        <f>IF(ISBLANK(Accrual!P89), "", Accrual!P89)</f>
        <v>0</v>
      </c>
      <c r="O92" s="42">
        <f>IF(ISBLANK('Cash Flow'!P89), "",'Cash Flow'!P89)</f>
        <v>0</v>
      </c>
      <c r="P92" s="36">
        <f t="shared" si="19"/>
        <v>0</v>
      </c>
      <c r="Q92" s="43">
        <f t="shared" si="20"/>
        <v>0</v>
      </c>
    </row>
    <row r="93" spans="1:17" ht="12.75" hidden="1" customHeight="1" x14ac:dyDescent="0.25">
      <c r="A93" s="18" t="s">
        <v>178</v>
      </c>
      <c r="B93" s="4" t="s">
        <v>179</v>
      </c>
      <c r="C93" s="42">
        <v>0</v>
      </c>
      <c r="D93" s="42">
        <v>0</v>
      </c>
      <c r="E93" s="42">
        <v>0</v>
      </c>
      <c r="F93" s="42">
        <f t="shared" si="21"/>
        <v>0</v>
      </c>
      <c r="G93" s="42">
        <v>0</v>
      </c>
      <c r="H93" s="42">
        <v>0</v>
      </c>
      <c r="I93" s="42">
        <f t="shared" si="16"/>
        <v>0</v>
      </c>
      <c r="J93" s="42">
        <f>IF(ISBLANK(Projection!P90), "", Projection!P90)</f>
        <v>0</v>
      </c>
      <c r="K93" s="42">
        <f>IF(ISBLANK('Committed Cost'!P90), "", 'Committed Cost'!P90)</f>
        <v>0</v>
      </c>
      <c r="L93" s="36">
        <f t="shared" si="17"/>
        <v>0</v>
      </c>
      <c r="M93" s="42">
        <f t="shared" si="18"/>
        <v>0</v>
      </c>
      <c r="N93" s="42">
        <f>IF(ISBLANK(Accrual!P90), "", Accrual!P90)</f>
        <v>0</v>
      </c>
      <c r="O93" s="42">
        <f>IF(ISBLANK('Cash Flow'!P90), "",'Cash Flow'!P90)</f>
        <v>0</v>
      </c>
      <c r="P93" s="36">
        <f t="shared" si="19"/>
        <v>0</v>
      </c>
      <c r="Q93" s="43">
        <f t="shared" si="20"/>
        <v>0</v>
      </c>
    </row>
    <row r="94" spans="1:17" ht="12.75" hidden="1" customHeight="1" x14ac:dyDescent="0.25">
      <c r="A94" s="18" t="s">
        <v>180</v>
      </c>
      <c r="B94" s="4" t="s">
        <v>181</v>
      </c>
      <c r="C94" s="42">
        <v>0</v>
      </c>
      <c r="D94" s="42">
        <v>0</v>
      </c>
      <c r="E94" s="42">
        <v>0</v>
      </c>
      <c r="F94" s="42">
        <f t="shared" si="21"/>
        <v>0</v>
      </c>
      <c r="G94" s="42">
        <v>0</v>
      </c>
      <c r="H94" s="42">
        <v>0</v>
      </c>
      <c r="I94" s="42">
        <f t="shared" si="16"/>
        <v>0</v>
      </c>
      <c r="J94" s="42">
        <f>IF(ISBLANK(Projection!P91), "", Projection!P91)</f>
        <v>0</v>
      </c>
      <c r="K94" s="42">
        <f>IF(ISBLANK('Committed Cost'!P91), "", 'Committed Cost'!P91)</f>
        <v>0</v>
      </c>
      <c r="L94" s="36">
        <f t="shared" si="17"/>
        <v>0</v>
      </c>
      <c r="M94" s="42">
        <f t="shared" si="18"/>
        <v>0</v>
      </c>
      <c r="N94" s="42">
        <f>IF(ISBLANK(Accrual!P91), "", Accrual!P91)</f>
        <v>0</v>
      </c>
      <c r="O94" s="42">
        <f>IF(ISBLANK('Cash Flow'!P91), "",'Cash Flow'!P91)</f>
        <v>0</v>
      </c>
      <c r="P94" s="36">
        <f t="shared" si="19"/>
        <v>0</v>
      </c>
      <c r="Q94" s="43">
        <f t="shared" si="20"/>
        <v>0</v>
      </c>
    </row>
    <row r="95" spans="1:17" ht="12.75" hidden="1" customHeight="1" x14ac:dyDescent="0.25">
      <c r="A95" s="18">
        <v>2.5</v>
      </c>
      <c r="B95" s="4" t="s">
        <v>182</v>
      </c>
      <c r="C95" s="42">
        <v>0</v>
      </c>
      <c r="D95" s="42">
        <v>0</v>
      </c>
      <c r="E95" s="42">
        <v>0</v>
      </c>
      <c r="F95" s="42">
        <f t="shared" si="21"/>
        <v>0</v>
      </c>
      <c r="G95" s="42">
        <v>0</v>
      </c>
      <c r="H95" s="42">
        <v>0</v>
      </c>
      <c r="I95" s="42">
        <f t="shared" si="16"/>
        <v>0</v>
      </c>
      <c r="J95" s="42">
        <f>IF(ISBLANK(Projection!P92), "", Projection!P92)</f>
        <v>0</v>
      </c>
      <c r="K95" s="42">
        <f>IF(ISBLANK('Committed Cost'!P92), "", 'Committed Cost'!P92)</f>
        <v>0</v>
      </c>
      <c r="L95" s="36">
        <f t="shared" si="17"/>
        <v>0</v>
      </c>
      <c r="M95" s="42">
        <f t="shared" si="18"/>
        <v>0</v>
      </c>
      <c r="N95" s="42">
        <f>IF(ISBLANK(Accrual!P92), "", Accrual!P92)</f>
        <v>0</v>
      </c>
      <c r="O95" s="42">
        <f>IF(ISBLANK('Cash Flow'!P92), "",'Cash Flow'!P92)</f>
        <v>0</v>
      </c>
      <c r="P95" s="36">
        <f t="shared" si="19"/>
        <v>0</v>
      </c>
      <c r="Q95" s="43">
        <f t="shared" si="20"/>
        <v>0</v>
      </c>
    </row>
    <row r="96" spans="1:17" ht="12.75" customHeight="1" x14ac:dyDescent="0.25">
      <c r="A96" s="18">
        <v>2.6</v>
      </c>
      <c r="B96" s="4" t="s">
        <v>183</v>
      </c>
      <c r="C96" s="42"/>
      <c r="D96" s="42"/>
      <c r="E96" s="42"/>
      <c r="F96" s="42"/>
      <c r="G96" s="42"/>
      <c r="H96" s="42"/>
      <c r="I96" s="42" t="str">
        <f t="shared" si="16"/>
        <v/>
      </c>
      <c r="J96" s="42" t="str">
        <f>IF(ISBLANK(Projection!P93), "", Projection!P93)</f>
        <v/>
      </c>
      <c r="K96" s="42" t="str">
        <f>IF(ISBLANK('Committed Cost'!P93), "", 'Committed Cost'!P93)</f>
        <v/>
      </c>
      <c r="L96" s="36" t="str">
        <f t="shared" si="17"/>
        <v/>
      </c>
      <c r="M96" s="42" t="str">
        <f t="shared" si="18"/>
        <v/>
      </c>
      <c r="N96" s="42" t="str">
        <f>IF(ISBLANK(Accrual!P93), "", Accrual!P93)</f>
        <v/>
      </c>
      <c r="O96" s="42" t="str">
        <f>IF(ISBLANK('Cash Flow'!P93), "",'Cash Flow'!P93)</f>
        <v/>
      </c>
      <c r="P96" s="36" t="str">
        <f t="shared" si="19"/>
        <v/>
      </c>
      <c r="Q96" s="43" t="str">
        <f t="shared" si="20"/>
        <v/>
      </c>
    </row>
    <row r="97" spans="1:17" ht="12.75" hidden="1" customHeight="1" x14ac:dyDescent="0.25">
      <c r="A97" s="18" t="s">
        <v>184</v>
      </c>
      <c r="B97" s="4" t="s">
        <v>185</v>
      </c>
      <c r="C97" s="42">
        <v>0</v>
      </c>
      <c r="D97" s="42">
        <v>0</v>
      </c>
      <c r="E97" s="42">
        <v>0</v>
      </c>
      <c r="F97" s="42">
        <f t="shared" ref="F97:F102" si="22">D97+E97</f>
        <v>0</v>
      </c>
      <c r="G97" s="42">
        <v>0</v>
      </c>
      <c r="H97" s="42">
        <v>0</v>
      </c>
      <c r="I97" s="42">
        <f t="shared" si="16"/>
        <v>0</v>
      </c>
      <c r="J97" s="42">
        <f>IF(ISBLANK(Projection!P94), "", Projection!P94)</f>
        <v>0</v>
      </c>
      <c r="K97" s="42">
        <f>IF(ISBLANK('Committed Cost'!P94), "", 'Committed Cost'!P94)</f>
        <v>0</v>
      </c>
      <c r="L97" s="36">
        <f t="shared" si="17"/>
        <v>0</v>
      </c>
      <c r="M97" s="42">
        <f t="shared" si="18"/>
        <v>0</v>
      </c>
      <c r="N97" s="42">
        <f>IF(ISBLANK(Accrual!P94), "", Accrual!P94)</f>
        <v>0</v>
      </c>
      <c r="O97" s="42">
        <f>IF(ISBLANK('Cash Flow'!P94), "",'Cash Flow'!P94)</f>
        <v>0</v>
      </c>
      <c r="P97" s="36">
        <f t="shared" si="19"/>
        <v>0</v>
      </c>
      <c r="Q97" s="43">
        <f t="shared" si="20"/>
        <v>0</v>
      </c>
    </row>
    <row r="98" spans="1:17" ht="12.75" hidden="1" customHeight="1" x14ac:dyDescent="0.25">
      <c r="A98" s="18" t="s">
        <v>186</v>
      </c>
      <c r="B98" s="4" t="s">
        <v>187</v>
      </c>
      <c r="C98" s="42">
        <v>0</v>
      </c>
      <c r="D98" s="42">
        <v>0</v>
      </c>
      <c r="E98" s="42">
        <v>0</v>
      </c>
      <c r="F98" s="42">
        <f t="shared" si="22"/>
        <v>0</v>
      </c>
      <c r="G98" s="42">
        <v>0</v>
      </c>
      <c r="H98" s="42">
        <v>0</v>
      </c>
      <c r="I98" s="42">
        <f t="shared" si="16"/>
        <v>0</v>
      </c>
      <c r="J98" s="42">
        <f>IF(ISBLANK(Projection!P95), "", Projection!P95)</f>
        <v>0</v>
      </c>
      <c r="K98" s="42">
        <f>IF(ISBLANK('Committed Cost'!P95), "", 'Committed Cost'!P95)</f>
        <v>0</v>
      </c>
      <c r="L98" s="36">
        <f t="shared" si="17"/>
        <v>0</v>
      </c>
      <c r="M98" s="42">
        <f t="shared" si="18"/>
        <v>0</v>
      </c>
      <c r="N98" s="42">
        <f>IF(ISBLANK(Accrual!P95), "", Accrual!P95)</f>
        <v>0</v>
      </c>
      <c r="O98" s="42">
        <f>IF(ISBLANK('Cash Flow'!P95), "",'Cash Flow'!P95)</f>
        <v>0</v>
      </c>
      <c r="P98" s="36">
        <f t="shared" si="19"/>
        <v>0</v>
      </c>
      <c r="Q98" s="43">
        <f t="shared" si="20"/>
        <v>0</v>
      </c>
    </row>
    <row r="99" spans="1:17" ht="12.75" hidden="1" customHeight="1" x14ac:dyDescent="0.25">
      <c r="A99" s="18">
        <v>2.7</v>
      </c>
      <c r="B99" s="4" t="s">
        <v>188</v>
      </c>
      <c r="C99" s="42">
        <v>0</v>
      </c>
      <c r="D99" s="42">
        <v>0</v>
      </c>
      <c r="E99" s="42">
        <v>0</v>
      </c>
      <c r="F99" s="42">
        <f t="shared" si="22"/>
        <v>0</v>
      </c>
      <c r="G99" s="42">
        <v>0</v>
      </c>
      <c r="H99" s="42">
        <v>0</v>
      </c>
      <c r="I99" s="42">
        <f t="shared" si="16"/>
        <v>0</v>
      </c>
      <c r="J99" s="42">
        <f>IF(ISBLANK(Projection!P96), "", Projection!P96)</f>
        <v>0</v>
      </c>
      <c r="K99" s="42">
        <f>IF(ISBLANK('Committed Cost'!P96), "", 'Committed Cost'!P96)</f>
        <v>0</v>
      </c>
      <c r="L99" s="36">
        <f t="shared" si="17"/>
        <v>0</v>
      </c>
      <c r="M99" s="42">
        <f t="shared" si="18"/>
        <v>0</v>
      </c>
      <c r="N99" s="42">
        <f>IF(ISBLANK(Accrual!P96), "", Accrual!P96)</f>
        <v>0</v>
      </c>
      <c r="O99" s="42">
        <f>IF(ISBLANK('Cash Flow'!P96), "",'Cash Flow'!P96)</f>
        <v>0</v>
      </c>
      <c r="P99" s="36">
        <f t="shared" si="19"/>
        <v>0</v>
      </c>
      <c r="Q99" s="43">
        <f t="shared" si="20"/>
        <v>0</v>
      </c>
    </row>
    <row r="100" spans="1:17" ht="12.75" hidden="1" customHeight="1" x14ac:dyDescent="0.25">
      <c r="A100" s="18">
        <v>2.8</v>
      </c>
      <c r="B100" s="4" t="s">
        <v>189</v>
      </c>
      <c r="C100" s="42">
        <v>0</v>
      </c>
      <c r="D100" s="42">
        <v>0</v>
      </c>
      <c r="E100" s="42">
        <v>0</v>
      </c>
      <c r="F100" s="42">
        <f t="shared" si="22"/>
        <v>0</v>
      </c>
      <c r="G100" s="42">
        <v>0</v>
      </c>
      <c r="H100" s="42">
        <v>0</v>
      </c>
      <c r="I100" s="42">
        <f t="shared" si="16"/>
        <v>0</v>
      </c>
      <c r="J100" s="42">
        <f>IF(ISBLANK(Projection!P97), "", Projection!P97)</f>
        <v>0</v>
      </c>
      <c r="K100" s="42">
        <f>IF(ISBLANK('Committed Cost'!P97), "", 'Committed Cost'!P97)</f>
        <v>0</v>
      </c>
      <c r="L100" s="36">
        <f t="shared" si="17"/>
        <v>0</v>
      </c>
      <c r="M100" s="42">
        <f t="shared" si="18"/>
        <v>0</v>
      </c>
      <c r="N100" s="42">
        <f>IF(ISBLANK(Accrual!P97), "", Accrual!P97)</f>
        <v>0</v>
      </c>
      <c r="O100" s="42">
        <f>IF(ISBLANK('Cash Flow'!P97), "",'Cash Flow'!P97)</f>
        <v>0</v>
      </c>
      <c r="P100" s="36">
        <f t="shared" si="19"/>
        <v>0</v>
      </c>
      <c r="Q100" s="43">
        <f t="shared" si="20"/>
        <v>0</v>
      </c>
    </row>
    <row r="101" spans="1:17" ht="12.75" customHeight="1" x14ac:dyDescent="0.25">
      <c r="A101" s="18">
        <v>2.9</v>
      </c>
      <c r="B101" s="4" t="s">
        <v>190</v>
      </c>
      <c r="C101" s="42">
        <v>0</v>
      </c>
      <c r="D101" s="42">
        <v>0</v>
      </c>
      <c r="E101" s="42">
        <v>0</v>
      </c>
      <c r="F101" s="42">
        <f t="shared" si="22"/>
        <v>0</v>
      </c>
      <c r="G101" s="42">
        <v>4953</v>
      </c>
      <c r="H101" s="42">
        <v>4953</v>
      </c>
      <c r="I101" s="42">
        <f t="shared" si="16"/>
        <v>0</v>
      </c>
      <c r="J101" s="42">
        <f>IF(ISBLANK(Projection!P98), "", Projection!P98)</f>
        <v>4953</v>
      </c>
      <c r="K101" s="42">
        <f>IF(ISBLANK('Committed Cost'!P98), "", 'Committed Cost'!P98)</f>
        <v>3952.19868</v>
      </c>
      <c r="L101" s="36">
        <f t="shared" si="17"/>
        <v>0</v>
      </c>
      <c r="M101" s="42">
        <f t="shared" si="18"/>
        <v>-3952.19868</v>
      </c>
      <c r="N101" s="42">
        <f>IF(ISBLANK(Accrual!P98), "", Accrual!P98)</f>
        <v>3952.19868</v>
      </c>
      <c r="O101" s="42">
        <f>IF(ISBLANK('Cash Flow'!P98), "",'Cash Flow'!P98)</f>
        <v>3952.19868</v>
      </c>
      <c r="P101" s="36">
        <f t="shared" si="19"/>
        <v>1</v>
      </c>
      <c r="Q101" s="43">
        <f t="shared" si="20"/>
        <v>0</v>
      </c>
    </row>
    <row r="102" spans="1:17" ht="12.75" hidden="1" customHeight="1" x14ac:dyDescent="0.25">
      <c r="A102" s="18" t="s">
        <v>191</v>
      </c>
      <c r="B102" s="4" t="s">
        <v>192</v>
      </c>
      <c r="C102" s="42">
        <v>0</v>
      </c>
      <c r="D102" s="42">
        <v>0</v>
      </c>
      <c r="E102" s="42">
        <v>0</v>
      </c>
      <c r="F102" s="42">
        <f t="shared" si="22"/>
        <v>0</v>
      </c>
      <c r="G102" s="42">
        <v>0</v>
      </c>
      <c r="H102" s="42">
        <v>0</v>
      </c>
      <c r="I102" s="42">
        <f t="shared" si="16"/>
        <v>0</v>
      </c>
      <c r="J102" s="42">
        <f>IF(ISBLANK(Projection!P99), "", Projection!P99)</f>
        <v>0</v>
      </c>
      <c r="K102" s="42">
        <f>IF(ISBLANK('Committed Cost'!P99), "", 'Committed Cost'!P99)</f>
        <v>0</v>
      </c>
      <c r="L102" s="36">
        <f t="shared" si="17"/>
        <v>0</v>
      </c>
      <c r="M102" s="42">
        <f t="shared" si="18"/>
        <v>0</v>
      </c>
      <c r="N102" s="42">
        <f>IF(ISBLANK(Accrual!P99), "", Accrual!P99)</f>
        <v>0</v>
      </c>
      <c r="O102" s="42">
        <f>IF(ISBLANK('Cash Flow'!P99), "",'Cash Flow'!P99)</f>
        <v>0</v>
      </c>
      <c r="P102" s="36">
        <f t="shared" si="19"/>
        <v>0</v>
      </c>
      <c r="Q102" s="43">
        <f t="shared" si="20"/>
        <v>0</v>
      </c>
    </row>
    <row r="103" spans="1:17" ht="12.75" customHeight="1" x14ac:dyDescent="0.25">
      <c r="A103" s="18">
        <v>2.11</v>
      </c>
      <c r="B103" s="4" t="s">
        <v>193</v>
      </c>
      <c r="C103" s="42"/>
      <c r="D103" s="42"/>
      <c r="E103" s="42"/>
      <c r="F103" s="42"/>
      <c r="G103" s="42"/>
      <c r="H103" s="42"/>
      <c r="I103" s="42" t="str">
        <f t="shared" si="16"/>
        <v/>
      </c>
      <c r="J103" s="42" t="str">
        <f>IF(ISBLANK(Projection!P100), "", Projection!P100)</f>
        <v/>
      </c>
      <c r="K103" s="42" t="str">
        <f>IF(ISBLANK('Committed Cost'!P100), "", 'Committed Cost'!P100)</f>
        <v/>
      </c>
      <c r="L103" s="36" t="str">
        <f t="shared" si="17"/>
        <v/>
      </c>
      <c r="M103" s="42" t="str">
        <f t="shared" si="18"/>
        <v/>
      </c>
      <c r="N103" s="42" t="str">
        <f>IF(ISBLANK(Accrual!P100), "", Accrual!P100)</f>
        <v/>
      </c>
      <c r="O103" s="42" t="str">
        <f>IF(ISBLANK('Cash Flow'!P100), "",'Cash Flow'!P100)</f>
        <v/>
      </c>
      <c r="P103" s="36" t="str">
        <f t="shared" si="19"/>
        <v/>
      </c>
      <c r="Q103" s="43" t="str">
        <f t="shared" si="20"/>
        <v/>
      </c>
    </row>
    <row r="104" spans="1:17" ht="12.75" hidden="1" customHeight="1" x14ac:dyDescent="0.25">
      <c r="A104" s="18" t="s">
        <v>194</v>
      </c>
      <c r="B104" s="4" t="s">
        <v>195</v>
      </c>
      <c r="C104" s="42">
        <v>0</v>
      </c>
      <c r="D104" s="42">
        <v>0</v>
      </c>
      <c r="E104" s="42">
        <v>0</v>
      </c>
      <c r="F104" s="42">
        <f t="shared" ref="F104:F109" si="23">D104+E104</f>
        <v>0</v>
      </c>
      <c r="G104" s="42">
        <v>0</v>
      </c>
      <c r="H104" s="42">
        <v>0</v>
      </c>
      <c r="I104" s="42">
        <f t="shared" si="16"/>
        <v>0</v>
      </c>
      <c r="J104" s="42">
        <f>IF(ISBLANK(Projection!P101), "", Projection!P101)</f>
        <v>0</v>
      </c>
      <c r="K104" s="42">
        <f>IF(ISBLANK('Committed Cost'!P101), "", 'Committed Cost'!P101)</f>
        <v>0</v>
      </c>
      <c r="L104" s="36">
        <f t="shared" si="17"/>
        <v>0</v>
      </c>
      <c r="M104" s="42">
        <f t="shared" si="18"/>
        <v>0</v>
      </c>
      <c r="N104" s="42">
        <f>IF(ISBLANK(Accrual!P101), "", Accrual!P101)</f>
        <v>0</v>
      </c>
      <c r="O104" s="42">
        <f>IF(ISBLANK('Cash Flow'!P101), "",'Cash Flow'!P101)</f>
        <v>0</v>
      </c>
      <c r="P104" s="36">
        <f t="shared" si="19"/>
        <v>0</v>
      </c>
      <c r="Q104" s="43">
        <f t="shared" si="20"/>
        <v>0</v>
      </c>
    </row>
    <row r="105" spans="1:17" ht="12.75" hidden="1" customHeight="1" x14ac:dyDescent="0.25">
      <c r="A105" s="18" t="s">
        <v>196</v>
      </c>
      <c r="B105" s="4" t="s">
        <v>197</v>
      </c>
      <c r="C105" s="42">
        <v>0</v>
      </c>
      <c r="D105" s="42">
        <v>0</v>
      </c>
      <c r="E105" s="42">
        <v>0</v>
      </c>
      <c r="F105" s="42">
        <f t="shared" si="23"/>
        <v>0</v>
      </c>
      <c r="G105" s="42">
        <v>0</v>
      </c>
      <c r="H105" s="42">
        <v>0</v>
      </c>
      <c r="I105" s="42">
        <f t="shared" si="16"/>
        <v>0</v>
      </c>
      <c r="J105" s="42">
        <f>IF(ISBLANK(Projection!P102), "", Projection!P102)</f>
        <v>0</v>
      </c>
      <c r="K105" s="42">
        <f>IF(ISBLANK('Committed Cost'!P102), "", 'Committed Cost'!P102)</f>
        <v>0</v>
      </c>
      <c r="L105" s="36">
        <f t="shared" si="17"/>
        <v>0</v>
      </c>
      <c r="M105" s="42">
        <f t="shared" si="18"/>
        <v>0</v>
      </c>
      <c r="N105" s="42">
        <f>IF(ISBLANK(Accrual!P102), "", Accrual!P102)</f>
        <v>0</v>
      </c>
      <c r="O105" s="42">
        <f>IF(ISBLANK('Cash Flow'!P102), "",'Cash Flow'!P102)</f>
        <v>0</v>
      </c>
      <c r="P105" s="36">
        <f t="shared" si="19"/>
        <v>0</v>
      </c>
      <c r="Q105" s="43">
        <f t="shared" si="20"/>
        <v>0</v>
      </c>
    </row>
    <row r="106" spans="1:17" ht="12.75" hidden="1" customHeight="1" x14ac:dyDescent="0.25">
      <c r="A106" s="18" t="s">
        <v>198</v>
      </c>
      <c r="B106" s="4" t="s">
        <v>199</v>
      </c>
      <c r="C106" s="42">
        <v>0</v>
      </c>
      <c r="D106" s="42">
        <v>0</v>
      </c>
      <c r="E106" s="42">
        <v>0</v>
      </c>
      <c r="F106" s="42">
        <f t="shared" si="23"/>
        <v>0</v>
      </c>
      <c r="G106" s="42">
        <v>0</v>
      </c>
      <c r="H106" s="42">
        <v>0</v>
      </c>
      <c r="I106" s="42">
        <f t="shared" si="16"/>
        <v>0</v>
      </c>
      <c r="J106" s="42">
        <f>IF(ISBLANK(Projection!P103), "", Projection!P103)</f>
        <v>0</v>
      </c>
      <c r="K106" s="42">
        <f>IF(ISBLANK('Committed Cost'!P103), "", 'Committed Cost'!P103)</f>
        <v>0</v>
      </c>
      <c r="L106" s="36">
        <f t="shared" si="17"/>
        <v>0</v>
      </c>
      <c r="M106" s="42">
        <f t="shared" si="18"/>
        <v>0</v>
      </c>
      <c r="N106" s="42">
        <f>IF(ISBLANK(Accrual!P103), "", Accrual!P103)</f>
        <v>0</v>
      </c>
      <c r="O106" s="42">
        <f>IF(ISBLANK('Cash Flow'!P103), "",'Cash Flow'!P103)</f>
        <v>0</v>
      </c>
      <c r="P106" s="36">
        <f t="shared" si="19"/>
        <v>0</v>
      </c>
      <c r="Q106" s="43">
        <f t="shared" si="20"/>
        <v>0</v>
      </c>
    </row>
    <row r="107" spans="1:17" ht="12.75" hidden="1" customHeight="1" x14ac:dyDescent="0.25">
      <c r="A107" s="18">
        <v>2.12</v>
      </c>
      <c r="B107" s="4" t="s">
        <v>200</v>
      </c>
      <c r="C107" s="42">
        <v>0</v>
      </c>
      <c r="D107" s="42">
        <v>0</v>
      </c>
      <c r="E107" s="42">
        <v>0</v>
      </c>
      <c r="F107" s="42">
        <f t="shared" si="23"/>
        <v>0</v>
      </c>
      <c r="G107" s="42">
        <v>0</v>
      </c>
      <c r="H107" s="42">
        <v>0</v>
      </c>
      <c r="I107" s="42">
        <f t="shared" si="16"/>
        <v>0</v>
      </c>
      <c r="J107" s="42">
        <f>IF(ISBLANK(Projection!P104), "", Projection!P104)</f>
        <v>0</v>
      </c>
      <c r="K107" s="42">
        <f>IF(ISBLANK('Committed Cost'!P104), "", 'Committed Cost'!P104)</f>
        <v>0</v>
      </c>
      <c r="L107" s="36">
        <f t="shared" si="17"/>
        <v>0</v>
      </c>
      <c r="M107" s="42">
        <f t="shared" si="18"/>
        <v>0</v>
      </c>
      <c r="N107" s="42">
        <f>IF(ISBLANK(Accrual!P104), "", Accrual!P104)</f>
        <v>0</v>
      </c>
      <c r="O107" s="42">
        <f>IF(ISBLANK('Cash Flow'!P104), "",'Cash Flow'!P104)</f>
        <v>0</v>
      </c>
      <c r="P107" s="36">
        <f t="shared" si="19"/>
        <v>0</v>
      </c>
      <c r="Q107" s="43">
        <f t="shared" si="20"/>
        <v>0</v>
      </c>
    </row>
    <row r="108" spans="1:17" ht="12.75" hidden="1" customHeight="1" x14ac:dyDescent="0.25">
      <c r="A108" s="18">
        <v>2.13</v>
      </c>
      <c r="B108" s="4" t="s">
        <v>201</v>
      </c>
      <c r="C108" s="42">
        <v>0</v>
      </c>
      <c r="D108" s="42">
        <v>0</v>
      </c>
      <c r="E108" s="42">
        <v>0</v>
      </c>
      <c r="F108" s="42">
        <f t="shared" si="23"/>
        <v>0</v>
      </c>
      <c r="G108" s="42">
        <v>0</v>
      </c>
      <c r="H108" s="42">
        <v>0</v>
      </c>
      <c r="I108" s="42">
        <f t="shared" si="16"/>
        <v>0</v>
      </c>
      <c r="J108" s="42">
        <f>IF(ISBLANK(Projection!P105), "", Projection!P105)</f>
        <v>0</v>
      </c>
      <c r="K108" s="42">
        <f>IF(ISBLANK('Committed Cost'!P105), "", 'Committed Cost'!P105)</f>
        <v>0</v>
      </c>
      <c r="L108" s="36">
        <f t="shared" si="17"/>
        <v>0</v>
      </c>
      <c r="M108" s="42">
        <f t="shared" si="18"/>
        <v>0</v>
      </c>
      <c r="N108" s="42">
        <f>IF(ISBLANK(Accrual!P105), "", Accrual!P105)</f>
        <v>0</v>
      </c>
      <c r="O108" s="42">
        <f>IF(ISBLANK('Cash Flow'!P105), "",'Cash Flow'!P105)</f>
        <v>0</v>
      </c>
      <c r="P108" s="36">
        <f t="shared" si="19"/>
        <v>0</v>
      </c>
      <c r="Q108" s="43">
        <f t="shared" si="20"/>
        <v>0</v>
      </c>
    </row>
    <row r="109" spans="1:17" ht="12.75" hidden="1" customHeight="1" x14ac:dyDescent="0.25">
      <c r="A109" s="19">
        <v>2.14</v>
      </c>
      <c r="B109" s="5" t="s">
        <v>202</v>
      </c>
      <c r="C109" s="44">
        <v>0</v>
      </c>
      <c r="D109" s="44">
        <v>0</v>
      </c>
      <c r="E109" s="44">
        <v>0</v>
      </c>
      <c r="F109" s="44">
        <f t="shared" si="23"/>
        <v>0</v>
      </c>
      <c r="G109" s="44">
        <v>0</v>
      </c>
      <c r="H109" s="44">
        <v>0</v>
      </c>
      <c r="I109" s="44">
        <f t="shared" si="16"/>
        <v>0</v>
      </c>
      <c r="J109" s="44">
        <f>IF(ISBLANK(Projection!P106), "", Projection!P106)</f>
        <v>0</v>
      </c>
      <c r="K109" s="44">
        <f>IF(ISBLANK('Committed Cost'!P106), "", 'Committed Cost'!P106)</f>
        <v>0</v>
      </c>
      <c r="L109" s="37">
        <f t="shared" si="17"/>
        <v>0</v>
      </c>
      <c r="M109" s="44">
        <f t="shared" si="18"/>
        <v>0</v>
      </c>
      <c r="N109" s="42">
        <f>IF(ISBLANK(Accrual!P106), "", Accrual!P106)</f>
        <v>0</v>
      </c>
      <c r="O109" s="42">
        <f>IF(ISBLANK('Cash Flow'!P106), "",'Cash Flow'!P106)</f>
        <v>0</v>
      </c>
      <c r="P109" s="37">
        <f t="shared" si="19"/>
        <v>0</v>
      </c>
      <c r="Q109" s="45">
        <f t="shared" si="20"/>
        <v>0</v>
      </c>
    </row>
    <row r="110" spans="1:17" ht="12.75" customHeight="1" x14ac:dyDescent="0.25">
      <c r="A110" s="20"/>
      <c r="B110" s="15" t="s">
        <v>203</v>
      </c>
      <c r="C110" s="46">
        <f t="shared" ref="C110:H110" si="24">SUM(C41:C109)</f>
        <v>0</v>
      </c>
      <c r="D110" s="46">
        <f t="shared" si="24"/>
        <v>0</v>
      </c>
      <c r="E110" s="46">
        <f t="shared" si="24"/>
        <v>0</v>
      </c>
      <c r="F110" s="46">
        <f t="shared" si="24"/>
        <v>0</v>
      </c>
      <c r="G110" s="46">
        <f t="shared" si="24"/>
        <v>805149.82000000007</v>
      </c>
      <c r="H110" s="46">
        <f t="shared" si="24"/>
        <v>805149.82000000007</v>
      </c>
      <c r="I110" s="46">
        <f t="shared" si="16"/>
        <v>-5.0000001210719347E-3</v>
      </c>
      <c r="J110" s="46">
        <f>IF(ISBLANK(Projection!P107), "", Projection!P107)</f>
        <v>805149.81499999994</v>
      </c>
      <c r="K110" s="46">
        <f>IF(ISBLANK('Committed Cost'!P107), "", 'Committed Cost'!P107)</f>
        <v>365928.84894</v>
      </c>
      <c r="L110" s="38">
        <f t="shared" si="17"/>
        <v>0</v>
      </c>
      <c r="M110" s="46">
        <f t="shared" si="18"/>
        <v>-365928.84894</v>
      </c>
      <c r="N110" s="46">
        <f>IF(ISBLANK(Accrual!P107), "", Accrual!P107)</f>
        <v>98180.705789999993</v>
      </c>
      <c r="O110" s="46">
        <f>IF(ISBLANK('Cash Flow'!P107), "",'Cash Flow'!P107)</f>
        <v>57566.592649999999</v>
      </c>
      <c r="P110" s="38">
        <f t="shared" si="19"/>
        <v>0.15731635485082779</v>
      </c>
      <c r="Q110" s="47">
        <f t="shared" si="20"/>
        <v>308362.25628999999</v>
      </c>
    </row>
    <row r="111" spans="1:17" ht="12.75" customHeight="1" x14ac:dyDescent="0.25">
      <c r="A111" s="18"/>
      <c r="B111" s="4"/>
      <c r="C111" s="42"/>
      <c r="D111" s="42"/>
      <c r="E111" s="42"/>
      <c r="F111" s="42"/>
      <c r="G111" s="42"/>
      <c r="H111" s="42"/>
      <c r="I111" s="42" t="str">
        <f t="shared" si="16"/>
        <v/>
      </c>
      <c r="J111" s="42" t="str">
        <f>IF(ISBLANK(Projection!P108), "", Projection!P108)</f>
        <v/>
      </c>
      <c r="K111" s="42" t="str">
        <f>IF(ISBLANK('Committed Cost'!P108), "", 'Committed Cost'!P108)</f>
        <v/>
      </c>
      <c r="L111" s="36" t="str">
        <f t="shared" si="17"/>
        <v/>
      </c>
      <c r="M111" s="42" t="str">
        <f t="shared" si="18"/>
        <v/>
      </c>
      <c r="N111" s="42" t="str">
        <f>IF(ISBLANK(Accrual!P108), "", Accrual!P108)</f>
        <v/>
      </c>
      <c r="O111" s="42" t="str">
        <f>IF(ISBLANK('Cash Flow'!P108), "",'Cash Flow'!P108)</f>
        <v/>
      </c>
      <c r="P111" s="36" t="str">
        <f t="shared" si="19"/>
        <v/>
      </c>
      <c r="Q111" s="43" t="str">
        <f t="shared" si="20"/>
        <v/>
      </c>
    </row>
    <row r="112" spans="1:17" ht="12.75" customHeight="1" x14ac:dyDescent="0.25">
      <c r="A112" s="21">
        <v>3</v>
      </c>
      <c r="B112" s="6" t="s">
        <v>204</v>
      </c>
      <c r="C112" s="48">
        <f t="shared" ref="C112:H112" si="25">C39-C110</f>
        <v>0</v>
      </c>
      <c r="D112" s="48">
        <f t="shared" si="25"/>
        <v>0</v>
      </c>
      <c r="E112" s="48">
        <f t="shared" si="25"/>
        <v>0</v>
      </c>
      <c r="F112" s="48">
        <f t="shared" si="25"/>
        <v>0</v>
      </c>
      <c r="G112" s="48">
        <f t="shared" si="25"/>
        <v>60677.179999999935</v>
      </c>
      <c r="H112" s="48">
        <f t="shared" si="25"/>
        <v>60677.179999999935</v>
      </c>
      <c r="I112" s="48">
        <f t="shared" ref="I112:I143" si="26">IF(H112="", "", J112-H112)</f>
        <v>5.0000001210719347E-3</v>
      </c>
      <c r="J112" s="48">
        <f>IF(ISBLANK(Projection!P109), "", Projection!P109)</f>
        <v>60677.185000000056</v>
      </c>
      <c r="K112" s="48">
        <f>IF(ISBLANK('Committed Cost'!P109), "", 'Committed Cost'!P109)</f>
        <v>263285.15106</v>
      </c>
      <c r="L112" s="39">
        <f t="shared" ref="L112:L143" si="27">IFERROR(IF(ISBLANK(F112), "", K112/F112), 0)</f>
        <v>0</v>
      </c>
      <c r="M112" s="48">
        <f t="shared" ref="M112:M133" si="28">IF(F112="", "", F112-K112)</f>
        <v>-263285.15106</v>
      </c>
      <c r="N112" s="48">
        <f>IF(ISBLANK(Accrual!P109), "", Accrual!P109)</f>
        <v>34316.294210000007</v>
      </c>
      <c r="O112" s="48">
        <f>IF(ISBLANK('Cash Flow'!P109), "",'Cash Flow'!P109)</f>
        <v>55448.880720000008</v>
      </c>
      <c r="P112" s="39">
        <f t="shared" ref="P112:P143" si="29">IFERROR(IF(O112="", "", O112/K112), 0)</f>
        <v>0.21060390415775393</v>
      </c>
      <c r="Q112" s="49">
        <f t="shared" ref="Q112:Q133" si="30">IF(K112="", "", K112-O112)</f>
        <v>207836.27033999999</v>
      </c>
    </row>
    <row r="113" spans="1:17" ht="12.75" customHeight="1" x14ac:dyDescent="0.25">
      <c r="A113" s="18"/>
      <c r="B113" s="4"/>
      <c r="C113" s="42"/>
      <c r="D113" s="42"/>
      <c r="E113" s="42"/>
      <c r="F113" s="42"/>
      <c r="G113" s="42"/>
      <c r="H113" s="42"/>
      <c r="I113" s="42" t="str">
        <f t="shared" si="26"/>
        <v/>
      </c>
      <c r="J113" s="42" t="str">
        <f>IF(ISBLANK(Projection!P110), "", Projection!P110)</f>
        <v/>
      </c>
      <c r="K113" s="42" t="str">
        <f>IF(ISBLANK('Committed Cost'!P110), "", 'Committed Cost'!P110)</f>
        <v/>
      </c>
      <c r="L113" s="36" t="str">
        <f t="shared" si="27"/>
        <v/>
      </c>
      <c r="M113" s="42" t="str">
        <f t="shared" si="28"/>
        <v/>
      </c>
      <c r="N113" s="42" t="str">
        <f>IF(ISBLANK(Accrual!P110), "", Accrual!P110)</f>
        <v/>
      </c>
      <c r="O113" s="42" t="str">
        <f>IF(ISBLANK('Cash Flow'!P110), "",'Cash Flow'!P110)</f>
        <v/>
      </c>
      <c r="P113" s="36" t="str">
        <f t="shared" si="29"/>
        <v/>
      </c>
      <c r="Q113" s="43" t="str">
        <f t="shared" si="30"/>
        <v/>
      </c>
    </row>
    <row r="114" spans="1:17" ht="12.75" customHeight="1" x14ac:dyDescent="0.25">
      <c r="A114" s="18">
        <v>4</v>
      </c>
      <c r="B114" s="4" t="s">
        <v>205</v>
      </c>
      <c r="C114" s="42"/>
      <c r="D114" s="42"/>
      <c r="E114" s="42"/>
      <c r="F114" s="42"/>
      <c r="G114" s="42"/>
      <c r="H114" s="42"/>
      <c r="I114" s="42" t="str">
        <f t="shared" si="26"/>
        <v/>
      </c>
      <c r="J114" s="42" t="str">
        <f>IF(ISBLANK(Projection!P111), "", Projection!P111)</f>
        <v/>
      </c>
      <c r="K114" s="42" t="str">
        <f>IF(ISBLANK('Committed Cost'!P111), "", 'Committed Cost'!P111)</f>
        <v/>
      </c>
      <c r="L114" s="36" t="str">
        <f t="shared" si="27"/>
        <v/>
      </c>
      <c r="M114" s="42" t="str">
        <f t="shared" si="28"/>
        <v/>
      </c>
      <c r="N114" s="42" t="str">
        <f>IF(ISBLANK(Accrual!P111), "", Accrual!P111)</f>
        <v/>
      </c>
      <c r="O114" s="42" t="str">
        <f>IF(ISBLANK('Cash Flow'!P111), "",'Cash Flow'!P111)</f>
        <v/>
      </c>
      <c r="P114" s="36" t="str">
        <f t="shared" si="29"/>
        <v/>
      </c>
      <c r="Q114" s="43" t="str">
        <f t="shared" si="30"/>
        <v/>
      </c>
    </row>
    <row r="115" spans="1:17" ht="12.75" customHeight="1" x14ac:dyDescent="0.25">
      <c r="A115" s="18"/>
      <c r="B115" s="4" t="s">
        <v>206</v>
      </c>
      <c r="C115" s="42"/>
      <c r="D115" s="42"/>
      <c r="E115" s="42"/>
      <c r="F115" s="42"/>
      <c r="G115" s="42"/>
      <c r="H115" s="42"/>
      <c r="I115" s="42" t="str">
        <f t="shared" si="26"/>
        <v/>
      </c>
      <c r="J115" s="42" t="str">
        <f>IF(ISBLANK(Projection!P112), "", Projection!P112)</f>
        <v/>
      </c>
      <c r="K115" s="42" t="str">
        <f>IF(ISBLANK('Committed Cost'!P112), "", 'Committed Cost'!P112)</f>
        <v/>
      </c>
      <c r="L115" s="36" t="str">
        <f t="shared" si="27"/>
        <v/>
      </c>
      <c r="M115" s="42" t="str">
        <f t="shared" si="28"/>
        <v/>
      </c>
      <c r="N115" s="42" t="str">
        <f>IF(ISBLANK(Accrual!P112), "", Accrual!P112)</f>
        <v/>
      </c>
      <c r="O115" s="42" t="str">
        <f>IF(ISBLANK('Cash Flow'!P112), "",'Cash Flow'!P112)</f>
        <v/>
      </c>
      <c r="P115" s="36" t="str">
        <f t="shared" si="29"/>
        <v/>
      </c>
      <c r="Q115" s="43" t="str">
        <f t="shared" si="30"/>
        <v/>
      </c>
    </row>
    <row r="116" spans="1:17" ht="12.75" customHeight="1" x14ac:dyDescent="0.25">
      <c r="A116" s="18">
        <v>2.1</v>
      </c>
      <c r="B116" s="4" t="s">
        <v>80</v>
      </c>
      <c r="C116" s="42"/>
      <c r="D116" s="42"/>
      <c r="E116" s="42"/>
      <c r="F116" s="42"/>
      <c r="G116" s="42"/>
      <c r="H116" s="42"/>
      <c r="I116" s="42" t="str">
        <f t="shared" si="26"/>
        <v/>
      </c>
      <c r="J116" s="42" t="str">
        <f>IF(ISBLANK(Projection!P113), "", Projection!P113)</f>
        <v/>
      </c>
      <c r="K116" s="42" t="str">
        <f>IF(ISBLANK('Committed Cost'!P113), "", 'Committed Cost'!P113)</f>
        <v/>
      </c>
      <c r="L116" s="36" t="str">
        <f t="shared" si="27"/>
        <v/>
      </c>
      <c r="M116" s="42" t="str">
        <f t="shared" si="28"/>
        <v/>
      </c>
      <c r="N116" s="42" t="str">
        <f>IF(ISBLANK(Accrual!P113), "", Accrual!P113)</f>
        <v/>
      </c>
      <c r="O116" s="42" t="str">
        <f>IF(ISBLANK('Cash Flow'!P113), "",'Cash Flow'!P113)</f>
        <v/>
      </c>
      <c r="P116" s="36" t="str">
        <f t="shared" si="29"/>
        <v/>
      </c>
      <c r="Q116" s="43" t="str">
        <f t="shared" si="30"/>
        <v/>
      </c>
    </row>
    <row r="117" spans="1:17" ht="12.75" hidden="1" customHeight="1" x14ac:dyDescent="0.25">
      <c r="A117" s="18" t="s">
        <v>93</v>
      </c>
      <c r="B117" s="4" t="s">
        <v>207</v>
      </c>
      <c r="C117" s="42"/>
      <c r="D117" s="42"/>
      <c r="E117" s="42"/>
      <c r="F117" s="42"/>
      <c r="G117" s="42">
        <f>G49*-1</f>
        <v>0</v>
      </c>
      <c r="H117" s="42"/>
      <c r="I117" s="42" t="str">
        <f t="shared" si="26"/>
        <v/>
      </c>
      <c r="J117" s="42">
        <f>IF(ISBLANK(Projection!P114), "", Projection!P114)</f>
        <v>0</v>
      </c>
      <c r="K117" s="42">
        <f>IF(ISBLANK('Committed Cost'!P114), "", 'Committed Cost'!P114)</f>
        <v>0</v>
      </c>
      <c r="L117" s="36" t="str">
        <f t="shared" si="27"/>
        <v/>
      </c>
      <c r="M117" s="42" t="str">
        <f t="shared" si="28"/>
        <v/>
      </c>
      <c r="N117" s="42">
        <f>IF(ISBLANK(Accrual!P114), "", Accrual!P114)</f>
        <v>0</v>
      </c>
      <c r="O117" s="42">
        <f>IF(ISBLANK('Cash Flow'!P114), "",'Cash Flow'!P114)</f>
        <v>0</v>
      </c>
      <c r="P117" s="36">
        <f t="shared" si="29"/>
        <v>0</v>
      </c>
      <c r="Q117" s="43">
        <f t="shared" si="30"/>
        <v>0</v>
      </c>
    </row>
    <row r="118" spans="1:17" ht="12.75" customHeight="1" x14ac:dyDescent="0.25">
      <c r="A118" s="18">
        <v>2.2999999999999998</v>
      </c>
      <c r="B118" s="4" t="s">
        <v>144</v>
      </c>
      <c r="C118" s="42"/>
      <c r="D118" s="42"/>
      <c r="E118" s="42"/>
      <c r="F118" s="42"/>
      <c r="G118" s="42"/>
      <c r="H118" s="42"/>
      <c r="I118" s="42" t="str">
        <f t="shared" si="26"/>
        <v/>
      </c>
      <c r="J118" s="42" t="str">
        <f>IF(ISBLANK(Projection!P115), "", Projection!P115)</f>
        <v/>
      </c>
      <c r="K118" s="42" t="str">
        <f>IF(ISBLANK('Committed Cost'!P115), "", 'Committed Cost'!P115)</f>
        <v/>
      </c>
      <c r="L118" s="36" t="str">
        <f t="shared" si="27"/>
        <v/>
      </c>
      <c r="M118" s="42" t="str">
        <f t="shared" si="28"/>
        <v/>
      </c>
      <c r="N118" s="42" t="str">
        <f>IF(ISBLANK(Accrual!P115), "", Accrual!P115)</f>
        <v/>
      </c>
      <c r="O118" s="42" t="str">
        <f>IF(ISBLANK('Cash Flow'!P115), "",'Cash Flow'!P115)</f>
        <v/>
      </c>
      <c r="P118" s="36" t="str">
        <f t="shared" si="29"/>
        <v/>
      </c>
      <c r="Q118" s="43" t="str">
        <f t="shared" si="30"/>
        <v/>
      </c>
    </row>
    <row r="119" spans="1:17" ht="12.75" hidden="1" customHeight="1" x14ac:dyDescent="0.25">
      <c r="A119" s="18" t="s">
        <v>157</v>
      </c>
      <c r="B119" s="4" t="s">
        <v>208</v>
      </c>
      <c r="C119" s="42"/>
      <c r="D119" s="42"/>
      <c r="E119" s="42"/>
      <c r="F119" s="42"/>
      <c r="G119" s="42">
        <f>G82*-1</f>
        <v>0</v>
      </c>
      <c r="H119" s="42"/>
      <c r="I119" s="42" t="str">
        <f t="shared" si="26"/>
        <v/>
      </c>
      <c r="J119" s="42">
        <f>IF(ISBLANK(Projection!P116), "", Projection!P116)</f>
        <v>0</v>
      </c>
      <c r="K119" s="42">
        <f>IF(ISBLANK('Committed Cost'!P116), "", 'Committed Cost'!P116)</f>
        <v>0</v>
      </c>
      <c r="L119" s="36" t="str">
        <f t="shared" si="27"/>
        <v/>
      </c>
      <c r="M119" s="42" t="str">
        <f t="shared" si="28"/>
        <v/>
      </c>
      <c r="N119" s="42">
        <f>IF(ISBLANK(Accrual!P116), "", Accrual!P116)</f>
        <v>0</v>
      </c>
      <c r="O119" s="42">
        <f>IF(ISBLANK('Cash Flow'!P116), "",'Cash Flow'!P116)</f>
        <v>0</v>
      </c>
      <c r="P119" s="36">
        <f t="shared" si="29"/>
        <v>0</v>
      </c>
      <c r="Q119" s="43">
        <f t="shared" si="30"/>
        <v>0</v>
      </c>
    </row>
    <row r="120" spans="1:17" ht="12.75" customHeight="1" x14ac:dyDescent="0.25">
      <c r="A120" s="18"/>
      <c r="B120" s="4"/>
      <c r="C120" s="42"/>
      <c r="D120" s="42"/>
      <c r="E120" s="42"/>
      <c r="F120" s="42"/>
      <c r="G120" s="42"/>
      <c r="H120" s="42"/>
      <c r="I120" s="42" t="str">
        <f t="shared" si="26"/>
        <v/>
      </c>
      <c r="J120" s="42" t="str">
        <f>IF(ISBLANK(Projection!P117), "", Projection!P117)</f>
        <v/>
      </c>
      <c r="K120" s="42" t="str">
        <f>IF(ISBLANK('Committed Cost'!P117), "", 'Committed Cost'!P117)</f>
        <v/>
      </c>
      <c r="L120" s="36" t="str">
        <f t="shared" si="27"/>
        <v/>
      </c>
      <c r="M120" s="42" t="str">
        <f t="shared" si="28"/>
        <v/>
      </c>
      <c r="N120" s="42" t="str">
        <f>IF(ISBLANK(Accrual!P117), "", Accrual!P117)</f>
        <v/>
      </c>
      <c r="O120" s="42" t="str">
        <f>IF(ISBLANK('Cash Flow'!P117), "",'Cash Flow'!P117)</f>
        <v/>
      </c>
      <c r="P120" s="36" t="str">
        <f t="shared" si="29"/>
        <v/>
      </c>
      <c r="Q120" s="43" t="str">
        <f t="shared" si="30"/>
        <v/>
      </c>
    </row>
    <row r="121" spans="1:17" ht="12.75" customHeight="1" x14ac:dyDescent="0.25">
      <c r="A121" s="19">
        <v>4.0999999999999996</v>
      </c>
      <c r="B121" s="5" t="s">
        <v>209</v>
      </c>
      <c r="C121" s="44">
        <v>0</v>
      </c>
      <c r="D121" s="44">
        <v>0</v>
      </c>
      <c r="E121" s="44">
        <v>0</v>
      </c>
      <c r="F121" s="44">
        <f>D121+E121</f>
        <v>0</v>
      </c>
      <c r="G121" s="44">
        <v>0</v>
      </c>
      <c r="H121" s="44"/>
      <c r="I121" s="44" t="str">
        <f t="shared" si="26"/>
        <v/>
      </c>
      <c r="J121" s="44">
        <f>IF(ISBLANK(Projection!P118), "", Projection!P118)</f>
        <v>-1146.1662115699999</v>
      </c>
      <c r="K121" s="44">
        <f>IF(ISBLANK('Committed Cost'!P118), "", 'Committed Cost'!P118)</f>
        <v>-1146.1662115699999</v>
      </c>
      <c r="L121" s="37">
        <f t="shared" si="27"/>
        <v>0</v>
      </c>
      <c r="M121" s="44">
        <f t="shared" si="28"/>
        <v>1146.1662115699999</v>
      </c>
      <c r="N121" s="42">
        <f>IF(ISBLANK(Accrual!P118), "", Accrual!P118)</f>
        <v>-1146.1662115699999</v>
      </c>
      <c r="O121" s="42">
        <f>IF(ISBLANK('Cash Flow'!P118), "",'Cash Flow'!P118)</f>
        <v>-1145.7944142662814</v>
      </c>
      <c r="P121" s="37">
        <f t="shared" si="29"/>
        <v>0.99967561659036419</v>
      </c>
      <c r="Q121" s="45">
        <f t="shared" si="30"/>
        <v>-0.37179730371849473</v>
      </c>
    </row>
    <row r="122" spans="1:17" ht="12.75" customHeight="1" x14ac:dyDescent="0.25">
      <c r="A122" s="20">
        <v>4.3</v>
      </c>
      <c r="B122" s="15" t="s">
        <v>210</v>
      </c>
      <c r="C122" s="46">
        <f>SUM(C114:C121)</f>
        <v>0</v>
      </c>
      <c r="D122" s="46">
        <f>SUM(D114:D121)</f>
        <v>0</v>
      </c>
      <c r="E122" s="46">
        <f>SUM(E114:E121)</f>
        <v>0</v>
      </c>
      <c r="F122" s="46">
        <f>SUM(F114:F121)</f>
        <v>0</v>
      </c>
      <c r="G122" s="46">
        <f>SUM(G114:G121)</f>
        <v>0</v>
      </c>
      <c r="H122" s="46"/>
      <c r="I122" s="46" t="str">
        <f t="shared" si="26"/>
        <v/>
      </c>
      <c r="J122" s="46">
        <f>IF(ISBLANK(Projection!P119), "", Projection!P119)</f>
        <v>-1146.1662115699999</v>
      </c>
      <c r="K122" s="46">
        <f>IF(ISBLANK('Committed Cost'!P119), "", 'Committed Cost'!P119)</f>
        <v>-1146.1662115699999</v>
      </c>
      <c r="L122" s="38">
        <f t="shared" si="27"/>
        <v>0</v>
      </c>
      <c r="M122" s="46">
        <f t="shared" si="28"/>
        <v>1146.1662115699999</v>
      </c>
      <c r="N122" s="46">
        <f>IF(ISBLANK(Accrual!P119), "", Accrual!P119)</f>
        <v>-1146.1662115699999</v>
      </c>
      <c r="O122" s="46">
        <f>IF(ISBLANK('Cash Flow'!P119), "",'Cash Flow'!P119)</f>
        <v>-1145.7944142662814</v>
      </c>
      <c r="P122" s="38">
        <f t="shared" si="29"/>
        <v>0.99967561659036419</v>
      </c>
      <c r="Q122" s="47">
        <f t="shared" si="30"/>
        <v>-0.37179730371849473</v>
      </c>
    </row>
    <row r="123" spans="1:17" ht="12.75" customHeight="1" x14ac:dyDescent="0.25">
      <c r="A123" s="18"/>
      <c r="B123" s="4"/>
      <c r="C123" s="42"/>
      <c r="D123" s="42"/>
      <c r="E123" s="42"/>
      <c r="F123" s="42"/>
      <c r="G123" s="42"/>
      <c r="H123" s="42"/>
      <c r="I123" s="42" t="str">
        <f t="shared" si="26"/>
        <v/>
      </c>
      <c r="J123" s="42" t="str">
        <f>IF(ISBLANK(Projection!P120), "", Projection!P120)</f>
        <v/>
      </c>
      <c r="K123" s="42" t="str">
        <f>IF(ISBLANK('Committed Cost'!P120), "", 'Committed Cost'!P120)</f>
        <v/>
      </c>
      <c r="L123" s="36" t="str">
        <f t="shared" si="27"/>
        <v/>
      </c>
      <c r="M123" s="42" t="str">
        <f t="shared" si="28"/>
        <v/>
      </c>
      <c r="N123" s="42" t="str">
        <f>IF(ISBLANK(Accrual!P120), "", Accrual!P120)</f>
        <v/>
      </c>
      <c r="O123" s="42" t="str">
        <f>IF(ISBLANK('Cash Flow'!P120), "",'Cash Flow'!P120)</f>
        <v/>
      </c>
      <c r="P123" s="36" t="str">
        <f t="shared" si="29"/>
        <v/>
      </c>
      <c r="Q123" s="43" t="str">
        <f t="shared" si="30"/>
        <v/>
      </c>
    </row>
    <row r="124" spans="1:17" ht="12.75" customHeight="1" x14ac:dyDescent="0.25">
      <c r="A124" s="21">
        <v>5</v>
      </c>
      <c r="B124" s="6" t="s">
        <v>211</v>
      </c>
      <c r="C124" s="48">
        <f>C112-C122</f>
        <v>0</v>
      </c>
      <c r="D124" s="48">
        <f>D112-D122</f>
        <v>0</v>
      </c>
      <c r="E124" s="48">
        <f>E112-E122</f>
        <v>0</v>
      </c>
      <c r="F124" s="48">
        <f>F112-F122</f>
        <v>0</v>
      </c>
      <c r="G124" s="48">
        <f>G112-G122</f>
        <v>60677.179999999935</v>
      </c>
      <c r="H124" s="48"/>
      <c r="I124" s="48" t="str">
        <f t="shared" si="26"/>
        <v/>
      </c>
      <c r="J124" s="48">
        <f>IF(ISBLANK(Projection!P121), "", Projection!P121)</f>
        <v>61823.351211570058</v>
      </c>
      <c r="K124" s="48">
        <f>IF(ISBLANK('Committed Cost'!P121), "", 'Committed Cost'!P121)</f>
        <v>264431.31727156998</v>
      </c>
      <c r="L124" s="39">
        <f t="shared" si="27"/>
        <v>0</v>
      </c>
      <c r="M124" s="48">
        <f t="shared" si="28"/>
        <v>-264431.31727156998</v>
      </c>
      <c r="N124" s="48">
        <f>IF(ISBLANK(Accrual!P121), "", Accrual!P121)</f>
        <v>35462.460421570009</v>
      </c>
      <c r="O124" s="48">
        <f>IF(ISBLANK('Cash Flow'!P121), "",'Cash Flow'!P121)</f>
        <v>56594.67513426629</v>
      </c>
      <c r="P124" s="39">
        <f t="shared" si="29"/>
        <v>0.21402410167682132</v>
      </c>
      <c r="Q124" s="49">
        <f t="shared" si="30"/>
        <v>207836.64213730369</v>
      </c>
    </row>
    <row r="125" spans="1:17" ht="12.75" customHeight="1" x14ac:dyDescent="0.25">
      <c r="A125" s="18"/>
      <c r="B125" s="4"/>
      <c r="C125" s="42"/>
      <c r="D125" s="42"/>
      <c r="E125" s="42"/>
      <c r="F125" s="42"/>
      <c r="G125" s="42"/>
      <c r="H125" s="42"/>
      <c r="I125" s="42" t="str">
        <f t="shared" si="26"/>
        <v/>
      </c>
      <c r="J125" s="42" t="str">
        <f>IF(ISBLANK(Projection!P122), "", Projection!P122)</f>
        <v/>
      </c>
      <c r="K125" s="42" t="str">
        <f>IF(ISBLANK('Committed Cost'!P122), "", 'Committed Cost'!P122)</f>
        <v/>
      </c>
      <c r="L125" s="36" t="str">
        <f t="shared" si="27"/>
        <v/>
      </c>
      <c r="M125" s="42" t="str">
        <f t="shared" si="28"/>
        <v/>
      </c>
      <c r="N125" s="42" t="str">
        <f>IF(ISBLANK(Accrual!P122), "", Accrual!P122)</f>
        <v/>
      </c>
      <c r="O125" s="42" t="str">
        <f>IF(ISBLANK('Cash Flow'!P122), "",'Cash Flow'!P122)</f>
        <v/>
      </c>
      <c r="P125" s="36" t="str">
        <f t="shared" si="29"/>
        <v/>
      </c>
      <c r="Q125" s="43" t="str">
        <f t="shared" si="30"/>
        <v/>
      </c>
    </row>
    <row r="126" spans="1:17" ht="12.75" customHeight="1" x14ac:dyDescent="0.25">
      <c r="A126" s="18">
        <v>6</v>
      </c>
      <c r="B126" s="4" t="s">
        <v>212</v>
      </c>
      <c r="C126" s="42"/>
      <c r="D126" s="42"/>
      <c r="E126" s="42"/>
      <c r="F126" s="42"/>
      <c r="G126" s="42"/>
      <c r="H126" s="42"/>
      <c r="I126" s="42" t="str">
        <f t="shared" si="26"/>
        <v/>
      </c>
      <c r="J126" s="42" t="str">
        <f>IF(ISBLANK(Projection!P123), "", Projection!P123)</f>
        <v/>
      </c>
      <c r="K126" s="42" t="str">
        <f>IF(ISBLANK('Committed Cost'!P123), "", 'Committed Cost'!P123)</f>
        <v/>
      </c>
      <c r="L126" s="36" t="str">
        <f t="shared" si="27"/>
        <v/>
      </c>
      <c r="M126" s="42" t="str">
        <f t="shared" si="28"/>
        <v/>
      </c>
      <c r="N126" s="42" t="str">
        <f>IF(ISBLANK(Accrual!P123), "", Accrual!P123)</f>
        <v/>
      </c>
      <c r="O126" s="42" t="str">
        <f>IF(ISBLANK('Cash Flow'!P123), "",'Cash Flow'!P123)</f>
        <v/>
      </c>
      <c r="P126" s="36" t="str">
        <f t="shared" si="29"/>
        <v/>
      </c>
      <c r="Q126" s="43" t="str">
        <f t="shared" si="30"/>
        <v/>
      </c>
    </row>
    <row r="127" spans="1:17" ht="12.75" hidden="1" customHeight="1" x14ac:dyDescent="0.25">
      <c r="A127" s="18">
        <v>6.1</v>
      </c>
      <c r="B127" s="4" t="s">
        <v>213</v>
      </c>
      <c r="C127" s="42">
        <v>0.06</v>
      </c>
      <c r="D127" s="42">
        <v>0.06</v>
      </c>
      <c r="E127" s="42">
        <v>0.06</v>
      </c>
      <c r="F127" s="42">
        <v>0.06</v>
      </c>
      <c r="G127" s="42">
        <v>0.06</v>
      </c>
      <c r="H127" s="42"/>
      <c r="I127" s="42" t="str">
        <f t="shared" si="26"/>
        <v/>
      </c>
      <c r="J127" s="42" t="str">
        <f>IF(ISBLANK(Projection!P124), "", Projection!P124)</f>
        <v/>
      </c>
      <c r="K127" s="42" t="str">
        <f>IF(ISBLANK('Committed Cost'!P124), "", 'Committed Cost'!P124)</f>
        <v/>
      </c>
      <c r="L127" s="36">
        <f t="shared" si="27"/>
        <v>0</v>
      </c>
      <c r="M127" s="42" t="e">
        <f t="shared" si="28"/>
        <v>#VALUE!</v>
      </c>
      <c r="N127" s="42" t="str">
        <f>IF(ISBLANK(Accrual!P124), "", Accrual!P124)</f>
        <v/>
      </c>
      <c r="O127" s="42" t="str">
        <f>IF(ISBLANK('Cash Flow'!P124), "",'Cash Flow'!P124)</f>
        <v/>
      </c>
      <c r="P127" s="36" t="str">
        <f t="shared" si="29"/>
        <v/>
      </c>
      <c r="Q127" s="43" t="str">
        <f t="shared" si="30"/>
        <v/>
      </c>
    </row>
    <row r="128" spans="1:17" ht="12.75" customHeight="1" x14ac:dyDescent="0.25">
      <c r="A128" s="18" t="s">
        <v>214</v>
      </c>
      <c r="B128" s="4" t="s">
        <v>215</v>
      </c>
      <c r="C128" s="42">
        <f>(C39-C21-C23-C36)*C127</f>
        <v>0</v>
      </c>
      <c r="D128" s="42">
        <f>(D39-D21-D23-D36)*D127</f>
        <v>0</v>
      </c>
      <c r="E128" s="42">
        <f>(E39-E21-E23-E36)*E127</f>
        <v>0</v>
      </c>
      <c r="F128" s="42">
        <f>(F39-F21-F23-F36)*F127</f>
        <v>0</v>
      </c>
      <c r="G128" s="42">
        <f>(G39-G21-G23-G36)*G127</f>
        <v>51535.02</v>
      </c>
      <c r="H128" s="42"/>
      <c r="I128" s="42" t="str">
        <f t="shared" si="26"/>
        <v/>
      </c>
      <c r="J128" s="42">
        <f>IF(ISBLANK(Projection!P125), "", Projection!P125)</f>
        <v>13135.019999999999</v>
      </c>
      <c r="K128" s="42">
        <f>IF(ISBLANK('Committed Cost'!P125), "", 'Committed Cost'!P125)</f>
        <v>-54.78</v>
      </c>
      <c r="L128" s="36">
        <f t="shared" si="27"/>
        <v>0</v>
      </c>
      <c r="M128" s="42">
        <f t="shared" si="28"/>
        <v>54.78</v>
      </c>
      <c r="N128" s="42">
        <f>IF(ISBLANK(Accrual!P125), "", Accrual!P125)</f>
        <v>5189.7</v>
      </c>
      <c r="O128" s="42">
        <f>IF(ISBLANK('Cash Flow'!P125), "",'Cash Flow'!P125)</f>
        <v>5194.5986021999997</v>
      </c>
      <c r="P128" s="36">
        <f t="shared" si="29"/>
        <v>-94.826553526834601</v>
      </c>
      <c r="Q128" s="43">
        <f t="shared" si="30"/>
        <v>-5249.3786021999995</v>
      </c>
    </row>
    <row r="129" spans="1:17" ht="12.75" hidden="1" customHeight="1" x14ac:dyDescent="0.25">
      <c r="A129" s="18" t="s">
        <v>216</v>
      </c>
      <c r="B129" s="4" t="s">
        <v>217</v>
      </c>
      <c r="C129" s="42">
        <f>(C39-C21-C23-C36)*0</f>
        <v>0</v>
      </c>
      <c r="D129" s="42">
        <f>(D39-D21-D23-D36)*0</f>
        <v>0</v>
      </c>
      <c r="E129" s="42">
        <f>(E39-E21-E23-E36)*0</f>
        <v>0</v>
      </c>
      <c r="F129" s="42">
        <f>(F39-F21-F23-F36)*0</f>
        <v>0</v>
      </c>
      <c r="G129" s="42">
        <f>(G39-G21-G23-G36)*0</f>
        <v>0</v>
      </c>
      <c r="H129" s="42"/>
      <c r="I129" s="42" t="str">
        <f t="shared" si="26"/>
        <v/>
      </c>
      <c r="J129" s="42">
        <f>IF(ISBLANK(Projection!P126), "", Projection!P126)</f>
        <v>0</v>
      </c>
      <c r="K129" s="42">
        <f>IF(ISBLANK('Committed Cost'!P126), "", 'Committed Cost'!P126)</f>
        <v>0</v>
      </c>
      <c r="L129" s="36">
        <f t="shared" si="27"/>
        <v>0</v>
      </c>
      <c r="M129" s="42">
        <f t="shared" si="28"/>
        <v>0</v>
      </c>
      <c r="N129" s="42">
        <f>IF(ISBLANK(Accrual!P126), "", Accrual!P126)</f>
        <v>0</v>
      </c>
      <c r="O129" s="42">
        <f>IF(ISBLANK('Cash Flow'!P126), "",'Cash Flow'!P126)</f>
        <v>0</v>
      </c>
      <c r="P129" s="36">
        <f t="shared" si="29"/>
        <v>0</v>
      </c>
      <c r="Q129" s="43">
        <f t="shared" si="30"/>
        <v>0</v>
      </c>
    </row>
    <row r="130" spans="1:17" ht="12.75" hidden="1" customHeight="1" x14ac:dyDescent="0.25">
      <c r="A130" s="18">
        <v>6.2</v>
      </c>
      <c r="B130" s="4" t="s">
        <v>218</v>
      </c>
      <c r="C130" s="42"/>
      <c r="D130" s="42"/>
      <c r="E130" s="42"/>
      <c r="F130" s="42"/>
      <c r="G130" s="42"/>
      <c r="H130" s="42"/>
      <c r="I130" s="42" t="str">
        <f t="shared" si="26"/>
        <v/>
      </c>
      <c r="J130" s="42" t="str">
        <f>IF(ISBLANK(Projection!P127), "", Projection!P127)</f>
        <v/>
      </c>
      <c r="K130" s="42" t="str">
        <f>IF(ISBLANK('Committed Cost'!P127), "", 'Committed Cost'!P127)</f>
        <v/>
      </c>
      <c r="L130" s="36" t="str">
        <f t="shared" si="27"/>
        <v/>
      </c>
      <c r="M130" s="42" t="str">
        <f t="shared" si="28"/>
        <v/>
      </c>
      <c r="N130" s="42" t="str">
        <f>IF(ISBLANK(Accrual!P127), "", Accrual!P127)</f>
        <v/>
      </c>
      <c r="O130" s="42" t="str">
        <f>IF(ISBLANK('Cash Flow'!P127), "",'Cash Flow'!P127)</f>
        <v/>
      </c>
      <c r="P130" s="36" t="str">
        <f t="shared" si="29"/>
        <v/>
      </c>
      <c r="Q130" s="43" t="str">
        <f t="shared" si="30"/>
        <v/>
      </c>
    </row>
    <row r="131" spans="1:17" ht="12.75" customHeight="1" x14ac:dyDescent="0.25">
      <c r="A131" s="18"/>
      <c r="B131" s="4"/>
      <c r="C131" s="42"/>
      <c r="D131" s="42"/>
      <c r="E131" s="42"/>
      <c r="F131" s="42"/>
      <c r="G131" s="42"/>
      <c r="H131" s="42"/>
      <c r="I131" s="42" t="str">
        <f t="shared" si="26"/>
        <v/>
      </c>
      <c r="J131" s="42" t="str">
        <f>IF(ISBLANK(Projection!P128), "", Projection!P128)</f>
        <v/>
      </c>
      <c r="K131" s="42" t="str">
        <f>IF(ISBLANK('Committed Cost'!P128), "", 'Committed Cost'!P128)</f>
        <v/>
      </c>
      <c r="L131" s="36" t="str">
        <f t="shared" si="27"/>
        <v/>
      </c>
      <c r="M131" s="42" t="str">
        <f t="shared" si="28"/>
        <v/>
      </c>
      <c r="N131" s="42" t="str">
        <f>IF(ISBLANK(Accrual!P128), "", Accrual!P128)</f>
        <v/>
      </c>
      <c r="O131" s="42" t="str">
        <f>IF(ISBLANK('Cash Flow'!P128), "",'Cash Flow'!P128)</f>
        <v/>
      </c>
      <c r="P131" s="36" t="str">
        <f t="shared" si="29"/>
        <v/>
      </c>
      <c r="Q131" s="43" t="str">
        <f t="shared" si="30"/>
        <v/>
      </c>
    </row>
    <row r="132" spans="1:17" ht="12.75" customHeight="1" x14ac:dyDescent="0.25">
      <c r="A132" s="22">
        <v>7</v>
      </c>
      <c r="B132" s="13" t="s">
        <v>219</v>
      </c>
      <c r="C132" s="50">
        <f>C124-SUM(C128:C129)+IF(ISBLANK(C130), 0, C130)</f>
        <v>0</v>
      </c>
      <c r="D132" s="50">
        <f>D124-SUM(D128:D129)+IF(ISBLANK(D130), 0, D130)</f>
        <v>0</v>
      </c>
      <c r="E132" s="50">
        <f>E124-SUM(E128:E129)+IF(ISBLANK(E130), 0, E130)</f>
        <v>0</v>
      </c>
      <c r="F132" s="50">
        <f>F124-SUM(F128:F129)+IF(ISBLANK(F130), 0, F130)</f>
        <v>0</v>
      </c>
      <c r="G132" s="50">
        <f>G124-SUM(G128:G129)+IF(ISBLANK(G130), 0, G130)</f>
        <v>9142.159999999938</v>
      </c>
      <c r="H132" s="50"/>
      <c r="I132" s="50" t="str">
        <f t="shared" si="26"/>
        <v/>
      </c>
      <c r="J132" s="50">
        <f>IF(ISBLANK(Projection!P129), "", Projection!P129)</f>
        <v>48688.331211570061</v>
      </c>
      <c r="K132" s="50">
        <f>IF(ISBLANK('Committed Cost'!P129), "", 'Committed Cost'!P129)</f>
        <v>264486.09727157</v>
      </c>
      <c r="L132" s="40">
        <f t="shared" si="27"/>
        <v>0</v>
      </c>
      <c r="M132" s="50">
        <f t="shared" si="28"/>
        <v>-264486.09727157</v>
      </c>
      <c r="N132" s="50">
        <f>IF(ISBLANK(Accrual!P129), "", Accrual!P129)</f>
        <v>30272.760421570008</v>
      </c>
      <c r="O132" s="50">
        <f>IF(ISBLANK('Cash Flow'!P129), "",'Cash Flow'!P129)</f>
        <v>51400.07653206629</v>
      </c>
      <c r="P132" s="40">
        <f t="shared" si="29"/>
        <v>0.19433942676877089</v>
      </c>
      <c r="Q132" s="51">
        <f t="shared" si="30"/>
        <v>213086.02073950373</v>
      </c>
    </row>
    <row r="133" spans="1:17" ht="12.75" customHeight="1" x14ac:dyDescent="0.25">
      <c r="A133" s="23"/>
      <c r="B133" s="12" t="s">
        <v>220</v>
      </c>
      <c r="C133" s="52"/>
      <c r="D133" s="52"/>
      <c r="E133" s="52"/>
      <c r="F133" s="52"/>
      <c r="G133" s="52"/>
      <c r="H133" s="52"/>
      <c r="I133" s="52" t="str">
        <f t="shared" si="26"/>
        <v/>
      </c>
      <c r="J133" s="52" t="str">
        <f>IF(ISBLANK(Projection!P130), "", Projection!P130)</f>
        <v/>
      </c>
      <c r="K133" s="52" t="str">
        <f>IF(ISBLANK('Committed Cost'!P130), "", 'Committed Cost'!P130)</f>
        <v/>
      </c>
      <c r="L133" s="41" t="str">
        <f t="shared" si="27"/>
        <v/>
      </c>
      <c r="M133" s="52" t="str">
        <f t="shared" si="28"/>
        <v/>
      </c>
      <c r="N133" s="52" t="str">
        <f>IF(ISBLANK(Accrual!P130), "", Accrual!P130)</f>
        <v/>
      </c>
      <c r="O133" s="52" t="str">
        <f>IF(ISBLANK('Cash Flow'!P130), "",'Cash Flow'!P130)</f>
        <v/>
      </c>
      <c r="P133" s="41" t="str">
        <f t="shared" si="29"/>
        <v/>
      </c>
      <c r="Q133" s="53" t="str">
        <f t="shared" si="30"/>
        <v/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B12:B14"/>
    <mergeCell ref="A12:A14"/>
    <mergeCell ref="G12:G14"/>
    <mergeCell ref="H12:H14"/>
    <mergeCell ref="I12:I14"/>
    <mergeCell ref="C12:F12"/>
    <mergeCell ref="C13:C14"/>
    <mergeCell ref="D13:D14"/>
    <mergeCell ref="E13:E14"/>
    <mergeCell ref="F13:F14"/>
    <mergeCell ref="G6:I7"/>
    <mergeCell ref="J12:J13"/>
    <mergeCell ref="K12:M13"/>
    <mergeCell ref="O12:Q12"/>
    <mergeCell ref="O13:P13"/>
    <mergeCell ref="Q13:Q14"/>
    <mergeCell ref="N12:N13"/>
    <mergeCell ref="G11:I11"/>
    <mergeCell ref="P7:Q8"/>
  </mergeCells>
  <phoneticPr fontId="6" type="noConversion"/>
  <printOptions horizontalCentered="1"/>
  <pageMargins left="3.9370078740157001E-2" right="3.9370078740157001E-2" top="0.23622047244093999" bottom="7.8740157480315001E-2" header="7.8740157480315001E-2" footer="7.8740157480315001E-2"/>
  <pageSetup paperSize="9" scale="48" fitToHeight="0" orientation="landscape" r:id="rId1"/>
  <headerFooter>
    <oddHeader>&amp;C
&amp;R&amp;"Times New Roman,Bold"&amp;10Page No.: &amp;P of &amp;N &amp;K00+000***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30"/>
  <sheetViews>
    <sheetView workbookViewId="0">
      <selection activeCell="P129" sqref="P129"/>
    </sheetView>
  </sheetViews>
  <sheetFormatPr defaultColWidth="14.28515625" defaultRowHeight="12.75" customHeight="1" x14ac:dyDescent="0.25"/>
  <cols>
    <col min="1" max="1" width="19.42578125" style="1" customWidth="1"/>
    <col min="2" max="2" width="42.85546875" style="1" customWidth="1"/>
    <col min="3" max="3" width="14.28515625" style="1"/>
  </cols>
  <sheetData>
    <row r="1" spans="1:16" ht="12.75" customHeight="1" x14ac:dyDescent="0.25">
      <c r="A1" s="2" t="s">
        <v>0</v>
      </c>
      <c r="B1" s="14"/>
      <c r="C1" s="2"/>
      <c r="P1" s="1"/>
    </row>
    <row r="2" spans="1:16" ht="12.75" customHeight="1" x14ac:dyDescent="0.25">
      <c r="A2" s="2"/>
      <c r="B2" s="14"/>
      <c r="C2" s="2"/>
      <c r="P2" s="58" t="s">
        <v>1</v>
      </c>
    </row>
    <row r="3" spans="1:16" ht="12.75" customHeight="1" x14ac:dyDescent="0.25">
      <c r="A3" s="2" t="s">
        <v>2</v>
      </c>
      <c r="B3" s="14">
        <v>1130</v>
      </c>
      <c r="C3" s="2"/>
      <c r="P3" s="1"/>
    </row>
    <row r="4" spans="1:16" ht="12.75" customHeight="1" x14ac:dyDescent="0.25">
      <c r="A4" s="2" t="s">
        <v>3</v>
      </c>
      <c r="B4" s="14" t="s">
        <v>4</v>
      </c>
      <c r="C4" s="2"/>
      <c r="P4" s="1"/>
    </row>
    <row r="5" spans="1:16" ht="12.75" customHeight="1" x14ac:dyDescent="0.25">
      <c r="A5" s="2" t="s">
        <v>5</v>
      </c>
      <c r="B5" s="14" t="s">
        <v>6</v>
      </c>
      <c r="C5" s="2"/>
      <c r="P5" s="1"/>
    </row>
    <row r="6" spans="1:16" ht="12.75" customHeight="1" x14ac:dyDescent="0.25">
      <c r="A6" s="2" t="s">
        <v>7</v>
      </c>
      <c r="B6" s="14" t="s">
        <v>8</v>
      </c>
      <c r="C6" s="2"/>
      <c r="G6" s="59" t="s">
        <v>9</v>
      </c>
      <c r="H6" s="59"/>
      <c r="I6" s="59"/>
      <c r="P6" s="1"/>
    </row>
    <row r="7" spans="1:16" ht="12.75" customHeight="1" x14ac:dyDescent="0.25">
      <c r="A7" s="2" t="s">
        <v>10</v>
      </c>
      <c r="B7" s="14" t="s">
        <v>11</v>
      </c>
      <c r="C7" s="57">
        <f>IFERROR((B5-B6)/(LEFT(B7, FIND(REPT(" ", 32), B7))-B6), "")</f>
        <v>0.22442653440793553</v>
      </c>
      <c r="G7" s="59"/>
      <c r="H7" s="59"/>
      <c r="I7" s="59"/>
      <c r="O7" s="67" t="s">
        <v>12</v>
      </c>
      <c r="P7" s="67"/>
    </row>
    <row r="8" spans="1:16" ht="12.75" customHeight="1" x14ac:dyDescent="0.25">
      <c r="A8" s="2" t="s">
        <v>13</v>
      </c>
      <c r="B8" s="14" t="s">
        <v>14</v>
      </c>
      <c r="C8" s="57" t="str">
        <f>IFERROR((B5-B6)/(LEFT(B8, FIND(REPT(" ", 32), B8))-B6), "")</f>
        <v/>
      </c>
      <c r="O8" s="67"/>
      <c r="P8" s="67"/>
    </row>
    <row r="9" spans="1:16" ht="12.75" customHeight="1" x14ac:dyDescent="0.25">
      <c r="B9" s="56"/>
      <c r="P9" s="1"/>
    </row>
    <row r="11" spans="1:16" ht="25.5" customHeight="1" x14ac:dyDescent="0.25">
      <c r="A11" s="8" t="s">
        <v>15</v>
      </c>
      <c r="B11" s="9"/>
      <c r="C11" s="9"/>
      <c r="D11" s="9"/>
      <c r="E11" s="9"/>
      <c r="F11" s="9"/>
      <c r="G11" s="66" t="s">
        <v>23</v>
      </c>
      <c r="H11" s="66"/>
      <c r="I11" s="66"/>
      <c r="J11" s="9"/>
      <c r="K11" s="9"/>
      <c r="L11" s="9"/>
      <c r="M11" s="9"/>
      <c r="N11" s="9"/>
      <c r="O11" s="9"/>
      <c r="P11" s="10"/>
    </row>
    <row r="12" spans="1:16" ht="12.75" customHeight="1" x14ac:dyDescent="0.2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ht="12.75" customHeight="1" x14ac:dyDescent="0.25">
      <c r="A13" s="17">
        <v>1</v>
      </c>
      <c r="B13" s="3" t="s">
        <v>49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5"/>
    </row>
    <row r="14" spans="1:16" ht="12.75" customHeight="1" x14ac:dyDescent="0.25">
      <c r="A14" s="18">
        <v>1.1000000000000001</v>
      </c>
      <c r="B14" s="4" t="s">
        <v>50</v>
      </c>
      <c r="C14" s="42">
        <v>0</v>
      </c>
      <c r="D14" s="42">
        <v>630000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/>
      <c r="N14" s="42"/>
      <c r="O14" s="42"/>
      <c r="P14" s="43">
        <f>SUM(C14:O14)</f>
        <v>630000</v>
      </c>
    </row>
    <row r="15" spans="1:16" ht="12.75" customHeight="1" x14ac:dyDescent="0.25">
      <c r="A15" s="18">
        <v>1.2</v>
      </c>
      <c r="B15" s="4" t="s">
        <v>51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3"/>
    </row>
    <row r="16" spans="1:16" ht="12.75" customHeight="1" x14ac:dyDescent="0.25">
      <c r="A16" s="18" t="s">
        <v>52</v>
      </c>
      <c r="B16" s="4" t="s">
        <v>53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115776</v>
      </c>
      <c r="I16" s="42">
        <v>0</v>
      </c>
      <c r="J16" s="42">
        <v>0</v>
      </c>
      <c r="K16" s="42">
        <v>0</v>
      </c>
      <c r="L16" s="42">
        <v>0</v>
      </c>
      <c r="M16" s="42"/>
      <c r="N16" s="42"/>
      <c r="O16" s="42"/>
      <c r="P16" s="43">
        <f t="shared" ref="P16:P26" si="0">SUM(C16:O16)</f>
        <v>115776</v>
      </c>
    </row>
    <row r="17" spans="1:16" ht="12.75" customHeight="1" x14ac:dyDescent="0.25">
      <c r="A17" s="18" t="s">
        <v>54</v>
      </c>
      <c r="B17" s="4" t="s">
        <v>55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28944</v>
      </c>
      <c r="I17" s="42">
        <v>0</v>
      </c>
      <c r="J17" s="42">
        <v>0</v>
      </c>
      <c r="K17" s="42">
        <v>0</v>
      </c>
      <c r="L17" s="42">
        <v>0</v>
      </c>
      <c r="M17" s="42"/>
      <c r="N17" s="42"/>
      <c r="O17" s="42"/>
      <c r="P17" s="43">
        <f t="shared" si="0"/>
        <v>28944</v>
      </c>
    </row>
    <row r="18" spans="1:16" ht="12.75" customHeight="1" x14ac:dyDescent="0.25">
      <c r="A18" s="18">
        <v>1.3</v>
      </c>
      <c r="B18" s="4" t="s">
        <v>56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6910</v>
      </c>
      <c r="I18" s="42">
        <v>0</v>
      </c>
      <c r="J18" s="42">
        <v>0</v>
      </c>
      <c r="K18" s="42">
        <v>0</v>
      </c>
      <c r="L18" s="42">
        <v>0</v>
      </c>
      <c r="M18" s="42"/>
      <c r="N18" s="42"/>
      <c r="O18" s="42"/>
      <c r="P18" s="43">
        <f t="shared" si="0"/>
        <v>6910</v>
      </c>
    </row>
    <row r="19" spans="1:16" ht="12.75" customHeight="1" x14ac:dyDescent="0.25">
      <c r="A19" s="18">
        <v>1.4</v>
      </c>
      <c r="B19" s="4" t="s">
        <v>57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/>
      <c r="N19" s="42"/>
      <c r="O19" s="42"/>
      <c r="P19" s="43">
        <f t="shared" si="0"/>
        <v>0</v>
      </c>
    </row>
    <row r="20" spans="1:16" ht="12.75" customHeight="1" x14ac:dyDescent="0.25">
      <c r="A20" s="18">
        <v>1.5</v>
      </c>
      <c r="B20" s="4" t="s">
        <v>58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/>
      <c r="N20" s="42"/>
      <c r="O20" s="42"/>
      <c r="P20" s="43">
        <f t="shared" si="0"/>
        <v>0</v>
      </c>
    </row>
    <row r="21" spans="1:16" ht="12.75" customHeight="1" x14ac:dyDescent="0.25">
      <c r="A21" s="18">
        <v>1.6</v>
      </c>
      <c r="B21" s="4" t="s">
        <v>59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/>
      <c r="N21" s="42"/>
      <c r="O21" s="42"/>
      <c r="P21" s="43">
        <f t="shared" si="0"/>
        <v>0</v>
      </c>
    </row>
    <row r="22" spans="1:16" ht="12.75" customHeight="1" x14ac:dyDescent="0.25">
      <c r="A22" s="18">
        <v>1.7</v>
      </c>
      <c r="B22" s="4" t="s">
        <v>60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/>
      <c r="N22" s="42"/>
      <c r="O22" s="42"/>
      <c r="P22" s="43">
        <f t="shared" si="0"/>
        <v>0</v>
      </c>
    </row>
    <row r="23" spans="1:16" ht="12.75" customHeight="1" x14ac:dyDescent="0.25">
      <c r="A23" s="18">
        <v>1.8</v>
      </c>
      <c r="B23" s="4" t="s">
        <v>61</v>
      </c>
      <c r="C23" s="42">
        <v>0</v>
      </c>
      <c r="D23" s="42">
        <v>10000</v>
      </c>
      <c r="E23" s="42">
        <v>0</v>
      </c>
      <c r="F23" s="42">
        <v>0</v>
      </c>
      <c r="G23" s="42">
        <v>0</v>
      </c>
      <c r="H23" s="42">
        <v>33296</v>
      </c>
      <c r="I23" s="42">
        <v>0</v>
      </c>
      <c r="J23" s="42">
        <v>0</v>
      </c>
      <c r="K23" s="42">
        <v>0</v>
      </c>
      <c r="L23" s="42">
        <v>0</v>
      </c>
      <c r="M23" s="42"/>
      <c r="N23" s="42"/>
      <c r="O23" s="42"/>
      <c r="P23" s="43">
        <f t="shared" si="0"/>
        <v>43296</v>
      </c>
    </row>
    <row r="24" spans="1:16" ht="12.75" customHeight="1" x14ac:dyDescent="0.25">
      <c r="A24" s="18">
        <v>1.9</v>
      </c>
      <c r="B24" s="4" t="s">
        <v>62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/>
      <c r="N24" s="42"/>
      <c r="O24" s="42"/>
      <c r="P24" s="43">
        <f t="shared" si="0"/>
        <v>0</v>
      </c>
    </row>
    <row r="25" spans="1:16" ht="12.75" customHeight="1" x14ac:dyDescent="0.25">
      <c r="A25" s="18" t="s">
        <v>63</v>
      </c>
      <c r="B25" s="4" t="s">
        <v>64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/>
      <c r="N25" s="42"/>
      <c r="O25" s="42"/>
      <c r="P25" s="43">
        <f t="shared" si="0"/>
        <v>0</v>
      </c>
    </row>
    <row r="26" spans="1:16" ht="12.75" customHeight="1" x14ac:dyDescent="0.25">
      <c r="A26" s="18">
        <v>1.1100000000000001</v>
      </c>
      <c r="B26" s="4" t="s">
        <v>65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/>
      <c r="N26" s="42"/>
      <c r="O26" s="42"/>
      <c r="P26" s="43">
        <f t="shared" si="0"/>
        <v>0</v>
      </c>
    </row>
    <row r="27" spans="1:16" ht="12.75" customHeight="1" x14ac:dyDescent="0.25">
      <c r="A27" s="18">
        <v>1.1200000000000001</v>
      </c>
      <c r="B27" s="4" t="s">
        <v>66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3"/>
    </row>
    <row r="28" spans="1:16" ht="12.75" customHeight="1" x14ac:dyDescent="0.25">
      <c r="A28" s="18" t="s">
        <v>67</v>
      </c>
      <c r="B28" s="4" t="s">
        <v>68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/>
      <c r="N28" s="42"/>
      <c r="O28" s="42"/>
      <c r="P28" s="43">
        <f t="shared" ref="P28:P35" si="1">SUM(C28:O28)</f>
        <v>0</v>
      </c>
    </row>
    <row r="29" spans="1:16" ht="12.75" customHeight="1" x14ac:dyDescent="0.25">
      <c r="A29" s="18" t="s">
        <v>69</v>
      </c>
      <c r="B29" s="4" t="s">
        <v>70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40901</v>
      </c>
      <c r="I29" s="42">
        <v>0</v>
      </c>
      <c r="J29" s="42">
        <v>0</v>
      </c>
      <c r="K29" s="42">
        <v>0</v>
      </c>
      <c r="L29" s="42">
        <v>0</v>
      </c>
      <c r="M29" s="42"/>
      <c r="N29" s="42"/>
      <c r="O29" s="42"/>
      <c r="P29" s="43">
        <f t="shared" si="1"/>
        <v>40901</v>
      </c>
    </row>
    <row r="30" spans="1:16" ht="12.75" customHeight="1" x14ac:dyDescent="0.25">
      <c r="A30" s="18" t="s">
        <v>71</v>
      </c>
      <c r="B30" s="4" t="s">
        <v>72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/>
      <c r="N30" s="42"/>
      <c r="O30" s="42"/>
      <c r="P30" s="43">
        <f t="shared" si="1"/>
        <v>0</v>
      </c>
    </row>
    <row r="31" spans="1:16" ht="12.75" customHeight="1" x14ac:dyDescent="0.25">
      <c r="A31" s="18">
        <v>1.1299999999999999</v>
      </c>
      <c r="B31" s="4" t="s">
        <v>73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/>
      <c r="N31" s="42"/>
      <c r="O31" s="42"/>
      <c r="P31" s="43">
        <f t="shared" si="1"/>
        <v>0</v>
      </c>
    </row>
    <row r="32" spans="1:16" ht="12.75" customHeight="1" x14ac:dyDescent="0.25">
      <c r="A32" s="18">
        <v>1.1399999999999999</v>
      </c>
      <c r="B32" s="4" t="s">
        <v>74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/>
      <c r="N32" s="42"/>
      <c r="O32" s="42"/>
      <c r="P32" s="43">
        <f t="shared" si="1"/>
        <v>0</v>
      </c>
    </row>
    <row r="33" spans="1:16" ht="12.75" customHeight="1" x14ac:dyDescent="0.25">
      <c r="A33" s="18">
        <v>1.1499999999999999</v>
      </c>
      <c r="B33" s="4" t="s">
        <v>75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/>
      <c r="N33" s="42"/>
      <c r="O33" s="42"/>
      <c r="P33" s="43">
        <f t="shared" si="1"/>
        <v>0</v>
      </c>
    </row>
    <row r="34" spans="1:16" ht="12.75" customHeight="1" x14ac:dyDescent="0.25">
      <c r="A34" s="18">
        <v>1.1599999999999999</v>
      </c>
      <c r="B34" s="4" t="s">
        <v>76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/>
      <c r="N34" s="42"/>
      <c r="O34" s="42"/>
      <c r="P34" s="43">
        <f t="shared" si="1"/>
        <v>0</v>
      </c>
    </row>
    <row r="35" spans="1:16" ht="12.75" customHeight="1" x14ac:dyDescent="0.25">
      <c r="A35" s="19">
        <v>1.17</v>
      </c>
      <c r="B35" s="5" t="s">
        <v>77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/>
      <c r="N35" s="44"/>
      <c r="O35" s="44"/>
      <c r="P35" s="45">
        <f t="shared" si="1"/>
        <v>0</v>
      </c>
    </row>
    <row r="36" spans="1:16" ht="12.75" customHeight="1" x14ac:dyDescent="0.25">
      <c r="A36" s="20"/>
      <c r="B36" s="15" t="s">
        <v>78</v>
      </c>
      <c r="C36" s="46">
        <f t="shared" ref="C36:P36" si="2">SUM(C13:C35)</f>
        <v>0</v>
      </c>
      <c r="D36" s="46">
        <f t="shared" si="2"/>
        <v>640000</v>
      </c>
      <c r="E36" s="46">
        <f t="shared" si="2"/>
        <v>0</v>
      </c>
      <c r="F36" s="46">
        <f t="shared" si="2"/>
        <v>0</v>
      </c>
      <c r="G36" s="46">
        <f t="shared" si="2"/>
        <v>0</v>
      </c>
      <c r="H36" s="46">
        <f t="shared" si="2"/>
        <v>225827</v>
      </c>
      <c r="I36" s="46">
        <f t="shared" si="2"/>
        <v>0</v>
      </c>
      <c r="J36" s="46">
        <f t="shared" si="2"/>
        <v>0</v>
      </c>
      <c r="K36" s="46">
        <f t="shared" si="2"/>
        <v>0</v>
      </c>
      <c r="L36" s="46">
        <f t="shared" si="2"/>
        <v>0</v>
      </c>
      <c r="M36" s="46">
        <f t="shared" si="2"/>
        <v>0</v>
      </c>
      <c r="N36" s="46">
        <f t="shared" si="2"/>
        <v>0</v>
      </c>
      <c r="O36" s="46">
        <f t="shared" si="2"/>
        <v>0</v>
      </c>
      <c r="P36" s="47">
        <f t="shared" si="2"/>
        <v>865827</v>
      </c>
    </row>
    <row r="37" spans="1:16" ht="12.75" customHeight="1" x14ac:dyDescent="0.25">
      <c r="A37" s="18"/>
      <c r="B37" s="4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3"/>
    </row>
    <row r="38" spans="1:16" ht="12.75" customHeight="1" x14ac:dyDescent="0.25">
      <c r="A38" s="18">
        <v>2</v>
      </c>
      <c r="B38" s="4" t="s">
        <v>79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3"/>
    </row>
    <row r="39" spans="1:16" ht="12.75" customHeight="1" x14ac:dyDescent="0.25">
      <c r="A39" s="18">
        <v>2.1</v>
      </c>
      <c r="B39" s="4" t="s">
        <v>80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3"/>
    </row>
    <row r="40" spans="1:16" ht="12.75" customHeight="1" x14ac:dyDescent="0.25">
      <c r="A40" s="18" t="s">
        <v>81</v>
      </c>
      <c r="B40" s="4" t="s">
        <v>82</v>
      </c>
      <c r="C40" s="42">
        <v>0</v>
      </c>
      <c r="D40" s="42">
        <v>39798</v>
      </c>
      <c r="E40" s="42">
        <v>0</v>
      </c>
      <c r="F40" s="42">
        <v>0</v>
      </c>
      <c r="G40" s="42">
        <v>0</v>
      </c>
      <c r="H40" s="42">
        <v>15665</v>
      </c>
      <c r="I40" s="42">
        <v>0</v>
      </c>
      <c r="J40" s="42">
        <v>0</v>
      </c>
      <c r="K40" s="42">
        <v>0</v>
      </c>
      <c r="L40" s="42">
        <v>0</v>
      </c>
      <c r="M40" s="42"/>
      <c r="N40" s="42"/>
      <c r="O40" s="42"/>
      <c r="P40" s="43">
        <f t="shared" ref="P40:P52" si="3">SUM(C40:O40)</f>
        <v>55463</v>
      </c>
    </row>
    <row r="41" spans="1:16" ht="12.75" customHeight="1" x14ac:dyDescent="0.25">
      <c r="A41" s="18" t="s">
        <v>83</v>
      </c>
      <c r="B41" s="4" t="s">
        <v>84</v>
      </c>
      <c r="C41" s="42">
        <v>0</v>
      </c>
      <c r="D41" s="42">
        <v>594</v>
      </c>
      <c r="E41" s="42">
        <v>0</v>
      </c>
      <c r="F41" s="42">
        <v>0</v>
      </c>
      <c r="G41" s="42">
        <v>0</v>
      </c>
      <c r="H41" s="42">
        <v>-404</v>
      </c>
      <c r="I41" s="42">
        <v>500</v>
      </c>
      <c r="J41" s="42">
        <v>0</v>
      </c>
      <c r="K41" s="42">
        <v>0</v>
      </c>
      <c r="L41" s="42">
        <v>0</v>
      </c>
      <c r="M41" s="42"/>
      <c r="N41" s="42"/>
      <c r="O41" s="42"/>
      <c r="P41" s="43">
        <f t="shared" si="3"/>
        <v>690</v>
      </c>
    </row>
    <row r="42" spans="1:16" ht="12.75" customHeight="1" x14ac:dyDescent="0.25">
      <c r="A42" s="18" t="s">
        <v>85</v>
      </c>
      <c r="B42" s="4" t="s">
        <v>86</v>
      </c>
      <c r="C42" s="42">
        <v>0</v>
      </c>
      <c r="D42" s="42">
        <v>5940</v>
      </c>
      <c r="E42" s="42">
        <v>0</v>
      </c>
      <c r="F42" s="42">
        <v>0</v>
      </c>
      <c r="G42" s="42">
        <v>0</v>
      </c>
      <c r="H42" s="42">
        <v>4633</v>
      </c>
      <c r="I42" s="42">
        <v>0</v>
      </c>
      <c r="J42" s="42">
        <v>0</v>
      </c>
      <c r="K42" s="42">
        <v>0</v>
      </c>
      <c r="L42" s="42">
        <v>0</v>
      </c>
      <c r="M42" s="42"/>
      <c r="N42" s="42"/>
      <c r="O42" s="42"/>
      <c r="P42" s="43">
        <f t="shared" si="3"/>
        <v>10573</v>
      </c>
    </row>
    <row r="43" spans="1:16" ht="12.75" customHeight="1" x14ac:dyDescent="0.25">
      <c r="A43" s="18" t="s">
        <v>87</v>
      </c>
      <c r="B43" s="4" t="s">
        <v>88</v>
      </c>
      <c r="C43" s="42">
        <v>0</v>
      </c>
      <c r="D43" s="42">
        <v>5940</v>
      </c>
      <c r="E43" s="42">
        <v>0</v>
      </c>
      <c r="F43" s="42">
        <v>0</v>
      </c>
      <c r="G43" s="42">
        <v>0</v>
      </c>
      <c r="H43" s="42">
        <v>-254</v>
      </c>
      <c r="I43" s="42">
        <v>0</v>
      </c>
      <c r="J43" s="42">
        <v>0</v>
      </c>
      <c r="K43" s="42">
        <v>0</v>
      </c>
      <c r="L43" s="42">
        <v>0</v>
      </c>
      <c r="M43" s="42"/>
      <c r="N43" s="42"/>
      <c r="O43" s="42"/>
      <c r="P43" s="43">
        <f t="shared" si="3"/>
        <v>5686</v>
      </c>
    </row>
    <row r="44" spans="1:16" ht="12.75" customHeight="1" x14ac:dyDescent="0.25">
      <c r="A44" s="18" t="s">
        <v>89</v>
      </c>
      <c r="B44" s="4" t="s">
        <v>90</v>
      </c>
      <c r="C44" s="42">
        <v>0</v>
      </c>
      <c r="D44" s="42">
        <v>5940</v>
      </c>
      <c r="E44" s="42">
        <v>0</v>
      </c>
      <c r="F44" s="42">
        <v>6560</v>
      </c>
      <c r="G44" s="42">
        <v>0</v>
      </c>
      <c r="H44" s="42">
        <v>6475</v>
      </c>
      <c r="I44" s="42">
        <v>0</v>
      </c>
      <c r="J44" s="42">
        <v>0</v>
      </c>
      <c r="K44" s="42">
        <v>0</v>
      </c>
      <c r="L44" s="42">
        <v>0</v>
      </c>
      <c r="M44" s="42"/>
      <c r="N44" s="42"/>
      <c r="O44" s="42"/>
      <c r="P44" s="43">
        <f t="shared" si="3"/>
        <v>18975</v>
      </c>
    </row>
    <row r="45" spans="1:16" ht="12.75" customHeight="1" x14ac:dyDescent="0.25">
      <c r="A45" s="18" t="s">
        <v>91</v>
      </c>
      <c r="B45" s="4" t="s">
        <v>92</v>
      </c>
      <c r="C45" s="42">
        <v>0</v>
      </c>
      <c r="D45" s="42">
        <v>5940</v>
      </c>
      <c r="E45" s="42">
        <v>-141</v>
      </c>
      <c r="F45" s="42">
        <v>0</v>
      </c>
      <c r="G45" s="42">
        <v>1500</v>
      </c>
      <c r="H45" s="42">
        <v>4006</v>
      </c>
      <c r="I45" s="42">
        <v>0</v>
      </c>
      <c r="J45" s="42">
        <v>0</v>
      </c>
      <c r="K45" s="42">
        <v>0</v>
      </c>
      <c r="L45" s="42">
        <v>4322</v>
      </c>
      <c r="M45" s="42"/>
      <c r="N45" s="42"/>
      <c r="O45" s="42"/>
      <c r="P45" s="43">
        <f t="shared" si="3"/>
        <v>15627</v>
      </c>
    </row>
    <row r="46" spans="1:16" ht="12.75" customHeight="1" x14ac:dyDescent="0.25">
      <c r="A46" s="18" t="s">
        <v>93</v>
      </c>
      <c r="B46" s="4" t="s">
        <v>94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/>
      <c r="N46" s="42"/>
      <c r="O46" s="42"/>
      <c r="P46" s="43">
        <f t="shared" si="3"/>
        <v>0</v>
      </c>
    </row>
    <row r="47" spans="1:16" ht="12.75" customHeight="1" x14ac:dyDescent="0.25">
      <c r="A47" s="18" t="s">
        <v>95</v>
      </c>
      <c r="B47" s="4" t="s">
        <v>96</v>
      </c>
      <c r="C47" s="42">
        <v>0</v>
      </c>
      <c r="D47" s="42">
        <v>0</v>
      </c>
      <c r="E47" s="42">
        <v>0.81499999999999995</v>
      </c>
      <c r="F47" s="42">
        <v>40</v>
      </c>
      <c r="G47" s="42">
        <v>0</v>
      </c>
      <c r="H47" s="42">
        <v>837</v>
      </c>
      <c r="I47" s="42">
        <v>0</v>
      </c>
      <c r="J47" s="42">
        <v>0</v>
      </c>
      <c r="K47" s="42">
        <v>0</v>
      </c>
      <c r="L47" s="42">
        <v>0</v>
      </c>
      <c r="M47" s="42"/>
      <c r="N47" s="42"/>
      <c r="O47" s="42"/>
      <c r="P47" s="43">
        <f t="shared" si="3"/>
        <v>877.81500000000005</v>
      </c>
    </row>
    <row r="48" spans="1:16" ht="12.75" customHeight="1" x14ac:dyDescent="0.25">
      <c r="A48" s="18" t="s">
        <v>97</v>
      </c>
      <c r="B48" s="4" t="s">
        <v>98</v>
      </c>
      <c r="C48" s="42">
        <v>0</v>
      </c>
      <c r="D48" s="42">
        <v>29700</v>
      </c>
      <c r="E48" s="42">
        <v>0</v>
      </c>
      <c r="F48" s="42">
        <v>-6600</v>
      </c>
      <c r="G48" s="42">
        <v>-3600</v>
      </c>
      <c r="H48" s="42">
        <v>8147</v>
      </c>
      <c r="I48" s="42">
        <v>-500</v>
      </c>
      <c r="J48" s="42">
        <v>0</v>
      </c>
      <c r="K48" s="42">
        <v>0</v>
      </c>
      <c r="L48" s="42">
        <v>0</v>
      </c>
      <c r="M48" s="42"/>
      <c r="N48" s="42"/>
      <c r="O48" s="42"/>
      <c r="P48" s="43">
        <f t="shared" si="3"/>
        <v>27147</v>
      </c>
    </row>
    <row r="49" spans="1:16" ht="12.75" customHeight="1" x14ac:dyDescent="0.25">
      <c r="A49" s="18" t="s">
        <v>99</v>
      </c>
      <c r="B49" s="4" t="s">
        <v>100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/>
      <c r="N49" s="42"/>
      <c r="O49" s="42"/>
      <c r="P49" s="43">
        <f t="shared" si="3"/>
        <v>0</v>
      </c>
    </row>
    <row r="50" spans="1:16" ht="12.75" customHeight="1" x14ac:dyDescent="0.25">
      <c r="A50" s="18" t="s">
        <v>101</v>
      </c>
      <c r="B50" s="4" t="s">
        <v>102</v>
      </c>
      <c r="C50" s="42">
        <v>0</v>
      </c>
      <c r="D50" s="42">
        <v>5940</v>
      </c>
      <c r="E50" s="42">
        <v>0</v>
      </c>
      <c r="F50" s="42">
        <v>0</v>
      </c>
      <c r="G50" s="42">
        <v>1500</v>
      </c>
      <c r="H50" s="42">
        <v>7113</v>
      </c>
      <c r="I50" s="42">
        <v>0</v>
      </c>
      <c r="J50" s="42">
        <v>0</v>
      </c>
      <c r="K50" s="42">
        <v>0</v>
      </c>
      <c r="L50" s="42">
        <v>-4322</v>
      </c>
      <c r="M50" s="42"/>
      <c r="N50" s="42"/>
      <c r="O50" s="42"/>
      <c r="P50" s="43">
        <f t="shared" si="3"/>
        <v>10231</v>
      </c>
    </row>
    <row r="51" spans="1:16" ht="12.75" customHeight="1" x14ac:dyDescent="0.25">
      <c r="A51" s="18" t="s">
        <v>103</v>
      </c>
      <c r="B51" s="4" t="s">
        <v>104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12987</v>
      </c>
      <c r="I51" s="42">
        <v>0</v>
      </c>
      <c r="J51" s="42">
        <v>0</v>
      </c>
      <c r="K51" s="42">
        <v>0</v>
      </c>
      <c r="L51" s="42">
        <v>0</v>
      </c>
      <c r="M51" s="42"/>
      <c r="N51" s="42"/>
      <c r="O51" s="42"/>
      <c r="P51" s="43">
        <f t="shared" si="3"/>
        <v>12987</v>
      </c>
    </row>
    <row r="52" spans="1:16" ht="12.75" customHeight="1" x14ac:dyDescent="0.25">
      <c r="A52" s="18" t="s">
        <v>105</v>
      </c>
      <c r="B52" s="4" t="s">
        <v>106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/>
      <c r="N52" s="42"/>
      <c r="O52" s="42"/>
      <c r="P52" s="43">
        <f t="shared" si="3"/>
        <v>0</v>
      </c>
    </row>
    <row r="53" spans="1:16" ht="12.75" customHeight="1" x14ac:dyDescent="0.25">
      <c r="A53" s="18">
        <v>2.2000000000000002</v>
      </c>
      <c r="B53" s="4" t="s">
        <v>107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3"/>
    </row>
    <row r="54" spans="1:16" ht="12.75" customHeight="1" x14ac:dyDescent="0.25">
      <c r="A54" s="18" t="s">
        <v>108</v>
      </c>
      <c r="B54" s="4" t="s">
        <v>109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/>
      <c r="N54" s="42"/>
      <c r="O54" s="42"/>
      <c r="P54" s="43">
        <f t="shared" ref="P54:P71" si="4">SUM(C54:O54)</f>
        <v>0</v>
      </c>
    </row>
    <row r="55" spans="1:16" ht="12.75" customHeight="1" x14ac:dyDescent="0.25">
      <c r="A55" s="18" t="s">
        <v>110</v>
      </c>
      <c r="B55" s="4" t="s">
        <v>111</v>
      </c>
      <c r="C55" s="42">
        <v>0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/>
      <c r="N55" s="42"/>
      <c r="O55" s="42"/>
      <c r="P55" s="43">
        <f t="shared" si="4"/>
        <v>0</v>
      </c>
    </row>
    <row r="56" spans="1:16" ht="12.75" customHeight="1" x14ac:dyDescent="0.25">
      <c r="A56" s="18" t="s">
        <v>112</v>
      </c>
      <c r="B56" s="4" t="s">
        <v>113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/>
      <c r="N56" s="42"/>
      <c r="O56" s="42"/>
      <c r="P56" s="43">
        <f t="shared" si="4"/>
        <v>0</v>
      </c>
    </row>
    <row r="57" spans="1:16" ht="12.75" customHeight="1" x14ac:dyDescent="0.25">
      <c r="A57" s="18" t="s">
        <v>114</v>
      </c>
      <c r="B57" s="4" t="s">
        <v>115</v>
      </c>
      <c r="C57" s="42">
        <v>0</v>
      </c>
      <c r="D57" s="42">
        <v>0</v>
      </c>
      <c r="E57" s="42">
        <v>0</v>
      </c>
      <c r="F57" s="42">
        <v>0</v>
      </c>
      <c r="G57" s="42">
        <v>100</v>
      </c>
      <c r="H57" s="42">
        <v>100</v>
      </c>
      <c r="I57" s="42">
        <v>7000</v>
      </c>
      <c r="J57" s="42">
        <v>0</v>
      </c>
      <c r="K57" s="42">
        <v>0</v>
      </c>
      <c r="L57" s="42">
        <v>0</v>
      </c>
      <c r="M57" s="42"/>
      <c r="N57" s="42"/>
      <c r="O57" s="42"/>
      <c r="P57" s="43">
        <f t="shared" si="4"/>
        <v>7200</v>
      </c>
    </row>
    <row r="58" spans="1:16" ht="12.75" customHeight="1" x14ac:dyDescent="0.25">
      <c r="A58" s="18" t="s">
        <v>116</v>
      </c>
      <c r="B58" s="4" t="s">
        <v>117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/>
      <c r="N58" s="42"/>
      <c r="O58" s="42"/>
      <c r="P58" s="43">
        <f t="shared" si="4"/>
        <v>0</v>
      </c>
    </row>
    <row r="59" spans="1:16" ht="12.75" customHeight="1" x14ac:dyDescent="0.25">
      <c r="A59" s="18" t="s">
        <v>118</v>
      </c>
      <c r="B59" s="4" t="s">
        <v>119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/>
      <c r="N59" s="42"/>
      <c r="O59" s="42"/>
      <c r="P59" s="43">
        <f t="shared" si="4"/>
        <v>0</v>
      </c>
    </row>
    <row r="60" spans="1:16" ht="12.75" customHeight="1" x14ac:dyDescent="0.25">
      <c r="A60" s="18" t="s">
        <v>120</v>
      </c>
      <c r="B60" s="4" t="s">
        <v>121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/>
      <c r="N60" s="42"/>
      <c r="O60" s="42"/>
      <c r="P60" s="43">
        <f t="shared" si="4"/>
        <v>0</v>
      </c>
    </row>
    <row r="61" spans="1:16" ht="12.75" customHeight="1" x14ac:dyDescent="0.25">
      <c r="A61" s="18" t="s">
        <v>122</v>
      </c>
      <c r="B61" s="4" t="s">
        <v>123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/>
      <c r="N61" s="42"/>
      <c r="O61" s="42"/>
      <c r="P61" s="43">
        <f t="shared" si="4"/>
        <v>0</v>
      </c>
    </row>
    <row r="62" spans="1:16" ht="12.75" customHeight="1" x14ac:dyDescent="0.25">
      <c r="A62" s="18" t="s">
        <v>124</v>
      </c>
      <c r="B62" s="4" t="s">
        <v>125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/>
      <c r="N62" s="42"/>
      <c r="O62" s="42"/>
      <c r="P62" s="43">
        <f t="shared" si="4"/>
        <v>0</v>
      </c>
    </row>
    <row r="63" spans="1:16" ht="12.75" customHeight="1" x14ac:dyDescent="0.25">
      <c r="A63" s="18" t="s">
        <v>126</v>
      </c>
      <c r="B63" s="4" t="s">
        <v>127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/>
      <c r="N63" s="42"/>
      <c r="O63" s="42"/>
      <c r="P63" s="43">
        <f t="shared" si="4"/>
        <v>0</v>
      </c>
    </row>
    <row r="64" spans="1:16" ht="12.75" customHeight="1" x14ac:dyDescent="0.25">
      <c r="A64" s="18" t="s">
        <v>128</v>
      </c>
      <c r="B64" s="4" t="s">
        <v>129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/>
      <c r="N64" s="42"/>
      <c r="O64" s="42"/>
      <c r="P64" s="43">
        <f t="shared" si="4"/>
        <v>0</v>
      </c>
    </row>
    <row r="65" spans="1:16" ht="12.75" customHeight="1" x14ac:dyDescent="0.25">
      <c r="A65" s="18" t="s">
        <v>130</v>
      </c>
      <c r="B65" s="4" t="s">
        <v>131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/>
      <c r="N65" s="42"/>
      <c r="O65" s="42"/>
      <c r="P65" s="43">
        <f t="shared" si="4"/>
        <v>0</v>
      </c>
    </row>
    <row r="66" spans="1:16" ht="12.75" customHeight="1" x14ac:dyDescent="0.25">
      <c r="A66" s="18" t="s">
        <v>132</v>
      </c>
      <c r="B66" s="4" t="s">
        <v>133</v>
      </c>
      <c r="C66" s="42">
        <v>0</v>
      </c>
      <c r="D66" s="42">
        <v>0</v>
      </c>
      <c r="E66" s="42">
        <v>140</v>
      </c>
      <c r="F66" s="42">
        <v>0</v>
      </c>
      <c r="G66" s="42">
        <v>500</v>
      </c>
      <c r="H66" s="42">
        <v>60</v>
      </c>
      <c r="I66" s="42">
        <v>100</v>
      </c>
      <c r="J66" s="42">
        <v>0</v>
      </c>
      <c r="K66" s="42">
        <v>0</v>
      </c>
      <c r="L66" s="42">
        <v>100</v>
      </c>
      <c r="M66" s="42"/>
      <c r="N66" s="42"/>
      <c r="O66" s="42"/>
      <c r="P66" s="43">
        <f t="shared" si="4"/>
        <v>900</v>
      </c>
    </row>
    <row r="67" spans="1:16" ht="12.75" customHeight="1" x14ac:dyDescent="0.25">
      <c r="A67" s="18" t="s">
        <v>134</v>
      </c>
      <c r="B67" s="4" t="s">
        <v>135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/>
      <c r="N67" s="42"/>
      <c r="O67" s="42"/>
      <c r="P67" s="43">
        <f t="shared" si="4"/>
        <v>0</v>
      </c>
    </row>
    <row r="68" spans="1:16" ht="12.75" customHeight="1" x14ac:dyDescent="0.25">
      <c r="A68" s="18" t="s">
        <v>136</v>
      </c>
      <c r="B68" s="4" t="s">
        <v>137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/>
      <c r="N68" s="42"/>
      <c r="O68" s="42"/>
      <c r="P68" s="43">
        <f t="shared" si="4"/>
        <v>0</v>
      </c>
    </row>
    <row r="69" spans="1:16" ht="12.75" customHeight="1" x14ac:dyDescent="0.25">
      <c r="A69" s="18" t="s">
        <v>138</v>
      </c>
      <c r="B69" s="4" t="s">
        <v>139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/>
      <c r="N69" s="42"/>
      <c r="O69" s="42"/>
      <c r="P69" s="43">
        <f t="shared" si="4"/>
        <v>0</v>
      </c>
    </row>
    <row r="70" spans="1:16" ht="12.75" customHeight="1" x14ac:dyDescent="0.25">
      <c r="A70" s="18" t="s">
        <v>140</v>
      </c>
      <c r="B70" s="4" t="s">
        <v>141</v>
      </c>
      <c r="C70" s="42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/>
      <c r="N70" s="42"/>
      <c r="O70" s="42"/>
      <c r="P70" s="43">
        <f t="shared" si="4"/>
        <v>0</v>
      </c>
    </row>
    <row r="71" spans="1:16" ht="12.75" customHeight="1" x14ac:dyDescent="0.25">
      <c r="A71" s="18" t="s">
        <v>142</v>
      </c>
      <c r="B71" s="4" t="s">
        <v>143</v>
      </c>
      <c r="C71" s="42">
        <v>0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/>
      <c r="N71" s="42"/>
      <c r="O71" s="42"/>
      <c r="P71" s="43">
        <f t="shared" si="4"/>
        <v>0</v>
      </c>
    </row>
    <row r="72" spans="1:16" ht="12.75" customHeight="1" x14ac:dyDescent="0.25">
      <c r="A72" s="18">
        <v>2.2999999999999998</v>
      </c>
      <c r="B72" s="4" t="s">
        <v>144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3"/>
    </row>
    <row r="73" spans="1:16" ht="12.75" customHeight="1" x14ac:dyDescent="0.25">
      <c r="A73" s="18" t="s">
        <v>145</v>
      </c>
      <c r="B73" s="4" t="s">
        <v>146</v>
      </c>
      <c r="C73" s="42">
        <v>0</v>
      </c>
      <c r="D73" s="42">
        <v>2970</v>
      </c>
      <c r="E73" s="42">
        <v>0</v>
      </c>
      <c r="F73" s="42">
        <v>0</v>
      </c>
      <c r="G73" s="42">
        <v>0</v>
      </c>
      <c r="H73" s="42">
        <v>-115</v>
      </c>
      <c r="I73" s="42">
        <v>0</v>
      </c>
      <c r="J73" s="42">
        <v>0</v>
      </c>
      <c r="K73" s="42">
        <v>0</v>
      </c>
      <c r="L73" s="42">
        <v>0</v>
      </c>
      <c r="M73" s="42"/>
      <c r="N73" s="42"/>
      <c r="O73" s="42"/>
      <c r="P73" s="43">
        <f t="shared" ref="P73:P81" si="5">SUM(C73:O73)</f>
        <v>2855</v>
      </c>
    </row>
    <row r="74" spans="1:16" ht="12.75" customHeight="1" x14ac:dyDescent="0.25">
      <c r="A74" s="18" t="s">
        <v>147</v>
      </c>
      <c r="B74" s="4" t="s">
        <v>148</v>
      </c>
      <c r="C74" s="42">
        <v>0</v>
      </c>
      <c r="D74" s="42">
        <v>2970</v>
      </c>
      <c r="E74" s="42">
        <v>0</v>
      </c>
      <c r="F74" s="42">
        <v>0</v>
      </c>
      <c r="G74" s="42">
        <v>0</v>
      </c>
      <c r="H74" s="42">
        <v>2014</v>
      </c>
      <c r="I74" s="42">
        <v>0</v>
      </c>
      <c r="J74" s="42">
        <v>0</v>
      </c>
      <c r="K74" s="42">
        <v>0</v>
      </c>
      <c r="L74" s="42">
        <v>0</v>
      </c>
      <c r="M74" s="42"/>
      <c r="N74" s="42"/>
      <c r="O74" s="42"/>
      <c r="P74" s="43">
        <f t="shared" si="5"/>
        <v>4984</v>
      </c>
    </row>
    <row r="75" spans="1:16" ht="12.75" customHeight="1" x14ac:dyDescent="0.25">
      <c r="A75" s="18" t="s">
        <v>149</v>
      </c>
      <c r="B75" s="4" t="s">
        <v>150</v>
      </c>
      <c r="C75" s="42">
        <v>0</v>
      </c>
      <c r="D75" s="42">
        <v>2970</v>
      </c>
      <c r="E75" s="42">
        <v>0</v>
      </c>
      <c r="F75" s="42">
        <v>0</v>
      </c>
      <c r="G75" s="42">
        <v>0</v>
      </c>
      <c r="H75" s="42">
        <v>-2344</v>
      </c>
      <c r="I75" s="42">
        <v>0</v>
      </c>
      <c r="J75" s="42">
        <v>0</v>
      </c>
      <c r="K75" s="42">
        <v>0</v>
      </c>
      <c r="L75" s="42">
        <v>0</v>
      </c>
      <c r="M75" s="42"/>
      <c r="N75" s="42"/>
      <c r="O75" s="42"/>
      <c r="P75" s="43">
        <f t="shared" si="5"/>
        <v>626</v>
      </c>
    </row>
    <row r="76" spans="1:16" ht="12.75" customHeight="1" x14ac:dyDescent="0.25">
      <c r="A76" s="18" t="s">
        <v>151</v>
      </c>
      <c r="B76" s="4" t="s">
        <v>152</v>
      </c>
      <c r="C76" s="42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0</v>
      </c>
      <c r="M76" s="42"/>
      <c r="N76" s="42"/>
      <c r="O76" s="42"/>
      <c r="P76" s="43">
        <f t="shared" si="5"/>
        <v>0</v>
      </c>
    </row>
    <row r="77" spans="1:16" ht="12.75" customHeight="1" x14ac:dyDescent="0.25">
      <c r="A77" s="18" t="s">
        <v>153</v>
      </c>
      <c r="B77" s="4" t="s">
        <v>154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0</v>
      </c>
      <c r="M77" s="42"/>
      <c r="N77" s="42"/>
      <c r="O77" s="42"/>
      <c r="P77" s="43">
        <f t="shared" si="5"/>
        <v>0</v>
      </c>
    </row>
    <row r="78" spans="1:16" ht="12.75" customHeight="1" x14ac:dyDescent="0.25">
      <c r="A78" s="18" t="s">
        <v>155</v>
      </c>
      <c r="B78" s="4" t="s">
        <v>156</v>
      </c>
      <c r="C78" s="42">
        <v>0</v>
      </c>
      <c r="D78" s="42">
        <v>5940</v>
      </c>
      <c r="E78" s="42">
        <v>0</v>
      </c>
      <c r="F78" s="42">
        <v>0</v>
      </c>
      <c r="G78" s="42">
        <v>0</v>
      </c>
      <c r="H78" s="42">
        <v>-5940</v>
      </c>
      <c r="I78" s="42">
        <v>0</v>
      </c>
      <c r="J78" s="42">
        <v>0</v>
      </c>
      <c r="K78" s="42">
        <v>0</v>
      </c>
      <c r="L78" s="42">
        <v>0</v>
      </c>
      <c r="M78" s="42"/>
      <c r="N78" s="42"/>
      <c r="O78" s="42"/>
      <c r="P78" s="43">
        <f t="shared" si="5"/>
        <v>0</v>
      </c>
    </row>
    <row r="79" spans="1:16" ht="12.75" customHeight="1" x14ac:dyDescent="0.25">
      <c r="A79" s="18" t="s">
        <v>157</v>
      </c>
      <c r="B79" s="4" t="s">
        <v>158</v>
      </c>
      <c r="C79" s="42">
        <v>0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2">
        <v>0</v>
      </c>
      <c r="K79" s="42">
        <v>0</v>
      </c>
      <c r="L79" s="42">
        <v>0</v>
      </c>
      <c r="M79" s="42"/>
      <c r="N79" s="42"/>
      <c r="O79" s="42"/>
      <c r="P79" s="43">
        <f t="shared" si="5"/>
        <v>0</v>
      </c>
    </row>
    <row r="80" spans="1:16" ht="12.75" customHeight="1" x14ac:dyDescent="0.25">
      <c r="A80" s="18" t="s">
        <v>159</v>
      </c>
      <c r="B80" s="4" t="s">
        <v>160</v>
      </c>
      <c r="C80" s="42">
        <v>0</v>
      </c>
      <c r="D80" s="42">
        <v>0</v>
      </c>
      <c r="E80" s="42">
        <v>0</v>
      </c>
      <c r="F80" s="42">
        <v>0</v>
      </c>
      <c r="G80" s="42">
        <v>0</v>
      </c>
      <c r="H80" s="42">
        <v>0</v>
      </c>
      <c r="I80" s="42">
        <v>0</v>
      </c>
      <c r="J80" s="42">
        <v>0</v>
      </c>
      <c r="K80" s="42">
        <v>0</v>
      </c>
      <c r="L80" s="42">
        <v>0</v>
      </c>
      <c r="M80" s="42"/>
      <c r="N80" s="42"/>
      <c r="O80" s="42"/>
      <c r="P80" s="43">
        <f t="shared" si="5"/>
        <v>0</v>
      </c>
    </row>
    <row r="81" spans="1:16" ht="12.75" customHeight="1" x14ac:dyDescent="0.25">
      <c r="A81" s="18" t="s">
        <v>161</v>
      </c>
      <c r="B81" s="4" t="s">
        <v>162</v>
      </c>
      <c r="C81" s="42">
        <v>0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42">
        <v>0</v>
      </c>
      <c r="L81" s="42">
        <v>0</v>
      </c>
      <c r="M81" s="42"/>
      <c r="N81" s="42"/>
      <c r="O81" s="42"/>
      <c r="P81" s="43">
        <f t="shared" si="5"/>
        <v>0</v>
      </c>
    </row>
    <row r="82" spans="1:16" ht="12.75" customHeight="1" x14ac:dyDescent="0.25">
      <c r="A82" s="18">
        <v>2.4</v>
      </c>
      <c r="B82" s="4" t="s">
        <v>163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3"/>
    </row>
    <row r="83" spans="1:16" ht="12.75" customHeight="1" x14ac:dyDescent="0.25">
      <c r="A83" s="18" t="s">
        <v>164</v>
      </c>
      <c r="B83" s="4" t="s">
        <v>165</v>
      </c>
      <c r="C83" s="42">
        <v>0</v>
      </c>
      <c r="D83" s="42">
        <v>475200</v>
      </c>
      <c r="E83" s="42">
        <v>0</v>
      </c>
      <c r="F83" s="42">
        <v>0</v>
      </c>
      <c r="G83" s="42">
        <v>0</v>
      </c>
      <c r="H83" s="42">
        <v>60241</v>
      </c>
      <c r="I83" s="42">
        <v>-7100</v>
      </c>
      <c r="J83" s="42">
        <v>0</v>
      </c>
      <c r="K83" s="42">
        <v>0</v>
      </c>
      <c r="L83" s="42">
        <v>-100</v>
      </c>
      <c r="M83" s="42"/>
      <c r="N83" s="42"/>
      <c r="O83" s="42"/>
      <c r="P83" s="43">
        <f t="shared" ref="P83:P92" si="6">SUM(C83:O83)</f>
        <v>528241</v>
      </c>
    </row>
    <row r="84" spans="1:16" ht="12.75" customHeight="1" x14ac:dyDescent="0.25">
      <c r="A84" s="18" t="s">
        <v>166</v>
      </c>
      <c r="B84" s="4" t="s">
        <v>167</v>
      </c>
      <c r="C84" s="42">
        <v>0</v>
      </c>
      <c r="D84" s="42">
        <v>0</v>
      </c>
      <c r="E84" s="42">
        <v>0</v>
      </c>
      <c r="F84" s="42">
        <v>0</v>
      </c>
      <c r="G84" s="42">
        <v>0</v>
      </c>
      <c r="H84" s="42">
        <v>115776</v>
      </c>
      <c r="I84" s="42">
        <v>0</v>
      </c>
      <c r="J84" s="42">
        <v>0</v>
      </c>
      <c r="K84" s="42">
        <v>0</v>
      </c>
      <c r="L84" s="42">
        <v>0</v>
      </c>
      <c r="M84" s="42"/>
      <c r="N84" s="42"/>
      <c r="O84" s="42"/>
      <c r="P84" s="43">
        <f t="shared" si="6"/>
        <v>115776</v>
      </c>
    </row>
    <row r="85" spans="1:16" ht="12.75" customHeight="1" x14ac:dyDescent="0.25">
      <c r="A85" s="18" t="s">
        <v>168</v>
      </c>
      <c r="B85" s="4" t="s">
        <v>169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0</v>
      </c>
      <c r="M85" s="42"/>
      <c r="N85" s="42"/>
      <c r="O85" s="42"/>
      <c r="P85" s="43">
        <f t="shared" si="6"/>
        <v>0</v>
      </c>
    </row>
    <row r="86" spans="1:16" ht="12.75" customHeight="1" x14ac:dyDescent="0.25">
      <c r="A86" s="18" t="s">
        <v>170</v>
      </c>
      <c r="B86" s="4" t="s">
        <v>171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0</v>
      </c>
      <c r="J86" s="42">
        <v>0</v>
      </c>
      <c r="K86" s="42">
        <v>0</v>
      </c>
      <c r="L86" s="42">
        <v>0</v>
      </c>
      <c r="M86" s="42"/>
      <c r="N86" s="42"/>
      <c r="O86" s="42"/>
      <c r="P86" s="43">
        <f t="shared" si="6"/>
        <v>0</v>
      </c>
    </row>
    <row r="87" spans="1:16" ht="12.75" customHeight="1" x14ac:dyDescent="0.25">
      <c r="A87" s="18" t="s">
        <v>172</v>
      </c>
      <c r="B87" s="4" t="s">
        <v>173</v>
      </c>
      <c r="C87" s="42">
        <v>0</v>
      </c>
      <c r="D87" s="42">
        <v>0</v>
      </c>
      <c r="E87" s="42">
        <v>0</v>
      </c>
      <c r="F87" s="42">
        <v>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0</v>
      </c>
      <c r="M87" s="42"/>
      <c r="N87" s="42"/>
      <c r="O87" s="42"/>
      <c r="P87" s="43">
        <f t="shared" si="6"/>
        <v>0</v>
      </c>
    </row>
    <row r="88" spans="1:16" ht="12.75" customHeight="1" x14ac:dyDescent="0.25">
      <c r="A88" s="18" t="s">
        <v>174</v>
      </c>
      <c r="B88" s="4" t="s">
        <v>175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/>
      <c r="N88" s="42"/>
      <c r="O88" s="42"/>
      <c r="P88" s="43">
        <f t="shared" si="6"/>
        <v>0</v>
      </c>
    </row>
    <row r="89" spans="1:16" ht="12.75" customHeight="1" x14ac:dyDescent="0.25">
      <c r="A89" s="18" t="s">
        <v>176</v>
      </c>
      <c r="B89" s="4" t="s">
        <v>177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-18642</v>
      </c>
      <c r="I89" s="42">
        <v>0</v>
      </c>
      <c r="J89" s="42">
        <v>0</v>
      </c>
      <c r="K89" s="42">
        <v>0</v>
      </c>
      <c r="L89" s="42">
        <v>0</v>
      </c>
      <c r="M89" s="42"/>
      <c r="N89" s="42"/>
      <c r="O89" s="42"/>
      <c r="P89" s="43">
        <f t="shared" si="6"/>
        <v>-18642</v>
      </c>
    </row>
    <row r="90" spans="1:16" ht="12.75" customHeight="1" x14ac:dyDescent="0.25">
      <c r="A90" s="18" t="s">
        <v>178</v>
      </c>
      <c r="B90" s="4" t="s">
        <v>179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/>
      <c r="N90" s="42"/>
      <c r="O90" s="42"/>
      <c r="P90" s="43">
        <f t="shared" si="6"/>
        <v>0</v>
      </c>
    </row>
    <row r="91" spans="1:16" ht="12.75" customHeight="1" x14ac:dyDescent="0.25">
      <c r="A91" s="18" t="s">
        <v>180</v>
      </c>
      <c r="B91" s="4" t="s">
        <v>181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/>
      <c r="N91" s="42"/>
      <c r="O91" s="42"/>
      <c r="P91" s="43">
        <f t="shared" si="6"/>
        <v>0</v>
      </c>
    </row>
    <row r="92" spans="1:16" ht="12.75" customHeight="1" x14ac:dyDescent="0.25">
      <c r="A92" s="18">
        <v>2.5</v>
      </c>
      <c r="B92" s="4" t="s">
        <v>182</v>
      </c>
      <c r="C92" s="42">
        <v>0</v>
      </c>
      <c r="D92" s="42">
        <v>0</v>
      </c>
      <c r="E92" s="42">
        <v>0</v>
      </c>
      <c r="F92" s="42">
        <v>0</v>
      </c>
      <c r="G92" s="42">
        <v>0</v>
      </c>
      <c r="H92" s="42">
        <v>0</v>
      </c>
      <c r="I92" s="42">
        <v>0</v>
      </c>
      <c r="J92" s="42">
        <v>0</v>
      </c>
      <c r="K92" s="42">
        <v>0</v>
      </c>
      <c r="L92" s="42">
        <v>0</v>
      </c>
      <c r="M92" s="42"/>
      <c r="N92" s="42"/>
      <c r="O92" s="42"/>
      <c r="P92" s="43">
        <f t="shared" si="6"/>
        <v>0</v>
      </c>
    </row>
    <row r="93" spans="1:16" ht="12.75" customHeight="1" x14ac:dyDescent="0.25">
      <c r="A93" s="18">
        <v>2.6</v>
      </c>
      <c r="B93" s="4" t="s">
        <v>183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3"/>
    </row>
    <row r="94" spans="1:16" ht="12.75" customHeight="1" x14ac:dyDescent="0.25">
      <c r="A94" s="18" t="s">
        <v>184</v>
      </c>
      <c r="B94" s="4" t="s">
        <v>185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/>
      <c r="N94" s="42"/>
      <c r="O94" s="42"/>
      <c r="P94" s="43">
        <f t="shared" ref="P94:P99" si="7">SUM(C94:O94)</f>
        <v>0</v>
      </c>
    </row>
    <row r="95" spans="1:16" ht="12.75" customHeight="1" x14ac:dyDescent="0.25">
      <c r="A95" s="18" t="s">
        <v>186</v>
      </c>
      <c r="B95" s="4" t="s">
        <v>187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/>
      <c r="N95" s="42"/>
      <c r="O95" s="42"/>
      <c r="P95" s="43">
        <f t="shared" si="7"/>
        <v>0</v>
      </c>
    </row>
    <row r="96" spans="1:16" ht="12.75" customHeight="1" x14ac:dyDescent="0.25">
      <c r="A96" s="18">
        <v>2.7</v>
      </c>
      <c r="B96" s="4" t="s">
        <v>188</v>
      </c>
      <c r="C96" s="42">
        <v>0</v>
      </c>
      <c r="D96" s="42">
        <v>0</v>
      </c>
      <c r="E96" s="42">
        <v>0</v>
      </c>
      <c r="F96" s="42">
        <v>0</v>
      </c>
      <c r="G96" s="42">
        <v>0</v>
      </c>
      <c r="H96" s="42">
        <v>0</v>
      </c>
      <c r="I96" s="42">
        <v>0</v>
      </c>
      <c r="J96" s="42">
        <v>0</v>
      </c>
      <c r="K96" s="42">
        <v>0</v>
      </c>
      <c r="L96" s="42">
        <v>0</v>
      </c>
      <c r="M96" s="42"/>
      <c r="N96" s="42"/>
      <c r="O96" s="42"/>
      <c r="P96" s="43">
        <f t="shared" si="7"/>
        <v>0</v>
      </c>
    </row>
    <row r="97" spans="1:16" ht="12.75" customHeight="1" x14ac:dyDescent="0.25">
      <c r="A97" s="18">
        <v>2.8</v>
      </c>
      <c r="B97" s="4" t="s">
        <v>189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/>
      <c r="N97" s="42"/>
      <c r="O97" s="42"/>
      <c r="P97" s="43">
        <f t="shared" si="7"/>
        <v>0</v>
      </c>
    </row>
    <row r="98" spans="1:16" ht="12.75" customHeight="1" x14ac:dyDescent="0.25">
      <c r="A98" s="18">
        <v>2.9</v>
      </c>
      <c r="B98" s="4" t="s">
        <v>190</v>
      </c>
      <c r="C98" s="42">
        <v>0</v>
      </c>
      <c r="D98" s="42">
        <v>4158</v>
      </c>
      <c r="E98" s="42">
        <v>0</v>
      </c>
      <c r="F98" s="42">
        <v>0</v>
      </c>
      <c r="G98" s="42">
        <v>0</v>
      </c>
      <c r="H98" s="42">
        <v>795</v>
      </c>
      <c r="I98" s="42">
        <v>0</v>
      </c>
      <c r="J98" s="42">
        <v>0</v>
      </c>
      <c r="K98" s="42">
        <v>0</v>
      </c>
      <c r="L98" s="42">
        <v>0</v>
      </c>
      <c r="M98" s="42"/>
      <c r="N98" s="42"/>
      <c r="O98" s="42"/>
      <c r="P98" s="43">
        <f t="shared" si="7"/>
        <v>4953</v>
      </c>
    </row>
    <row r="99" spans="1:16" ht="12.75" customHeight="1" x14ac:dyDescent="0.25">
      <c r="A99" s="18" t="s">
        <v>191</v>
      </c>
      <c r="B99" s="4" t="s">
        <v>192</v>
      </c>
      <c r="C99" s="42">
        <v>0</v>
      </c>
      <c r="D99" s="42">
        <v>0</v>
      </c>
      <c r="E99" s="42">
        <v>0</v>
      </c>
      <c r="F99" s="42">
        <v>0</v>
      </c>
      <c r="G99" s="42">
        <v>0</v>
      </c>
      <c r="H99" s="42">
        <v>0</v>
      </c>
      <c r="I99" s="42">
        <v>0</v>
      </c>
      <c r="J99" s="42">
        <v>0</v>
      </c>
      <c r="K99" s="42">
        <v>0</v>
      </c>
      <c r="L99" s="42">
        <v>0</v>
      </c>
      <c r="M99" s="42"/>
      <c r="N99" s="42"/>
      <c r="O99" s="42"/>
      <c r="P99" s="43">
        <f t="shared" si="7"/>
        <v>0</v>
      </c>
    </row>
    <row r="100" spans="1:16" ht="12.75" customHeight="1" x14ac:dyDescent="0.25">
      <c r="A100" s="18">
        <v>2.11</v>
      </c>
      <c r="B100" s="4" t="s">
        <v>193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3"/>
    </row>
    <row r="101" spans="1:16" ht="12.75" customHeight="1" x14ac:dyDescent="0.25">
      <c r="A101" s="18" t="s">
        <v>194</v>
      </c>
      <c r="B101" s="4" t="s">
        <v>195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/>
      <c r="N101" s="42"/>
      <c r="O101" s="42"/>
      <c r="P101" s="43">
        <f t="shared" ref="P101:P106" si="8">SUM(C101:O101)</f>
        <v>0</v>
      </c>
    </row>
    <row r="102" spans="1:16" ht="12.75" customHeight="1" x14ac:dyDescent="0.25">
      <c r="A102" s="18" t="s">
        <v>196</v>
      </c>
      <c r="B102" s="4" t="s">
        <v>197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/>
      <c r="N102" s="42"/>
      <c r="O102" s="42"/>
      <c r="P102" s="43">
        <f t="shared" si="8"/>
        <v>0</v>
      </c>
    </row>
    <row r="103" spans="1:16" ht="12.75" customHeight="1" x14ac:dyDescent="0.25">
      <c r="A103" s="18" t="s">
        <v>198</v>
      </c>
      <c r="B103" s="4" t="s">
        <v>199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/>
      <c r="N103" s="42"/>
      <c r="O103" s="42"/>
      <c r="P103" s="43">
        <f t="shared" si="8"/>
        <v>0</v>
      </c>
    </row>
    <row r="104" spans="1:16" ht="12.75" customHeight="1" x14ac:dyDescent="0.25">
      <c r="A104" s="18">
        <v>2.12</v>
      </c>
      <c r="B104" s="4" t="s">
        <v>200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/>
      <c r="N104" s="42"/>
      <c r="O104" s="42"/>
      <c r="P104" s="43">
        <f t="shared" si="8"/>
        <v>0</v>
      </c>
    </row>
    <row r="105" spans="1:16" ht="12.75" customHeight="1" x14ac:dyDescent="0.25">
      <c r="A105" s="18">
        <v>2.13</v>
      </c>
      <c r="B105" s="4" t="s">
        <v>201</v>
      </c>
      <c r="C105" s="42">
        <v>0</v>
      </c>
      <c r="D105" s="42">
        <v>0</v>
      </c>
      <c r="E105" s="42">
        <v>0</v>
      </c>
      <c r="F105" s="42">
        <v>0</v>
      </c>
      <c r="G105" s="42">
        <v>0</v>
      </c>
      <c r="H105" s="42">
        <v>0</v>
      </c>
      <c r="I105" s="42">
        <v>0</v>
      </c>
      <c r="J105" s="42">
        <v>0</v>
      </c>
      <c r="K105" s="42">
        <v>0</v>
      </c>
      <c r="L105" s="42">
        <v>0</v>
      </c>
      <c r="M105" s="42"/>
      <c r="N105" s="42"/>
      <c r="O105" s="42"/>
      <c r="P105" s="43">
        <f t="shared" si="8"/>
        <v>0</v>
      </c>
    </row>
    <row r="106" spans="1:16" ht="12.75" customHeight="1" x14ac:dyDescent="0.25">
      <c r="A106" s="19">
        <v>2.14</v>
      </c>
      <c r="B106" s="5" t="s">
        <v>202</v>
      </c>
      <c r="C106" s="44">
        <v>0</v>
      </c>
      <c r="D106" s="44">
        <v>0</v>
      </c>
      <c r="E106" s="44">
        <v>0</v>
      </c>
      <c r="F106" s="44">
        <v>0</v>
      </c>
      <c r="G106" s="44">
        <v>0</v>
      </c>
      <c r="H106" s="44">
        <v>0</v>
      </c>
      <c r="I106" s="44">
        <v>0</v>
      </c>
      <c r="J106" s="44">
        <v>0</v>
      </c>
      <c r="K106" s="44">
        <v>0</v>
      </c>
      <c r="L106" s="44">
        <v>0</v>
      </c>
      <c r="M106" s="44"/>
      <c r="N106" s="44"/>
      <c r="O106" s="44"/>
      <c r="P106" s="45">
        <f t="shared" si="8"/>
        <v>0</v>
      </c>
    </row>
    <row r="107" spans="1:16" ht="12.75" customHeight="1" x14ac:dyDescent="0.25">
      <c r="A107" s="20"/>
      <c r="B107" s="15" t="s">
        <v>203</v>
      </c>
      <c r="C107" s="46">
        <f t="shared" ref="C107:P107" si="9">SUM(C38:C106)</f>
        <v>0</v>
      </c>
      <c r="D107" s="46">
        <f t="shared" si="9"/>
        <v>594000</v>
      </c>
      <c r="E107" s="46">
        <f t="shared" si="9"/>
        <v>-0.18500000000000227</v>
      </c>
      <c r="F107" s="46">
        <f t="shared" si="9"/>
        <v>0</v>
      </c>
      <c r="G107" s="46">
        <f t="shared" si="9"/>
        <v>0</v>
      </c>
      <c r="H107" s="46">
        <f t="shared" si="9"/>
        <v>211150</v>
      </c>
      <c r="I107" s="46">
        <f t="shared" si="9"/>
        <v>0</v>
      </c>
      <c r="J107" s="46">
        <f t="shared" si="9"/>
        <v>0</v>
      </c>
      <c r="K107" s="46">
        <f t="shared" si="9"/>
        <v>0</v>
      </c>
      <c r="L107" s="46">
        <f t="shared" si="9"/>
        <v>0</v>
      </c>
      <c r="M107" s="46">
        <f t="shared" si="9"/>
        <v>0</v>
      </c>
      <c r="N107" s="46">
        <f t="shared" si="9"/>
        <v>0</v>
      </c>
      <c r="O107" s="46">
        <f t="shared" si="9"/>
        <v>0</v>
      </c>
      <c r="P107" s="47">
        <f t="shared" si="9"/>
        <v>805149.81499999994</v>
      </c>
    </row>
    <row r="108" spans="1:16" ht="12.75" customHeight="1" x14ac:dyDescent="0.25">
      <c r="A108" s="18"/>
      <c r="B108" s="4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3"/>
    </row>
    <row r="109" spans="1:16" ht="12.75" customHeight="1" x14ac:dyDescent="0.25">
      <c r="A109" s="21">
        <v>3</v>
      </c>
      <c r="B109" s="6" t="s">
        <v>204</v>
      </c>
      <c r="C109" s="48">
        <f t="shared" ref="C109:L109" si="10">C36-C107</f>
        <v>0</v>
      </c>
      <c r="D109" s="48">
        <f t="shared" si="10"/>
        <v>46000</v>
      </c>
      <c r="E109" s="48">
        <f t="shared" si="10"/>
        <v>0.18500000000000227</v>
      </c>
      <c r="F109" s="48">
        <f t="shared" si="10"/>
        <v>0</v>
      </c>
      <c r="G109" s="48">
        <f t="shared" si="10"/>
        <v>0</v>
      </c>
      <c r="H109" s="48">
        <f t="shared" si="10"/>
        <v>14677</v>
      </c>
      <c r="I109" s="48">
        <f t="shared" si="10"/>
        <v>0</v>
      </c>
      <c r="J109" s="48">
        <f t="shared" si="10"/>
        <v>0</v>
      </c>
      <c r="K109" s="48">
        <f t="shared" si="10"/>
        <v>0</v>
      </c>
      <c r="L109" s="48">
        <f t="shared" si="10"/>
        <v>0</v>
      </c>
      <c r="M109" s="48"/>
      <c r="N109" s="48"/>
      <c r="O109" s="48"/>
      <c r="P109" s="49">
        <f>P36-P107</f>
        <v>60677.185000000056</v>
      </c>
    </row>
    <row r="110" spans="1:16" ht="12.75" customHeight="1" x14ac:dyDescent="0.25">
      <c r="A110" s="18"/>
      <c r="B110" s="4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3"/>
    </row>
    <row r="111" spans="1:16" ht="12.75" customHeight="1" x14ac:dyDescent="0.25">
      <c r="A111" s="18">
        <v>4</v>
      </c>
      <c r="B111" s="4" t="s">
        <v>205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3"/>
    </row>
    <row r="112" spans="1:16" ht="12.75" customHeight="1" x14ac:dyDescent="0.25">
      <c r="A112" s="18"/>
      <c r="B112" s="4" t="s">
        <v>206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3"/>
    </row>
    <row r="113" spans="1:16" ht="12.75" customHeight="1" x14ac:dyDescent="0.25">
      <c r="A113" s="18">
        <v>2.1</v>
      </c>
      <c r="B113" s="4" t="s">
        <v>80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3"/>
    </row>
    <row r="114" spans="1:16" ht="12.75" customHeight="1" x14ac:dyDescent="0.25">
      <c r="A114" s="18" t="s">
        <v>93</v>
      </c>
      <c r="B114" s="4" t="s">
        <v>207</v>
      </c>
      <c r="C114" s="42">
        <f t="shared" ref="C114:L114" si="11">C46*-1</f>
        <v>0</v>
      </c>
      <c r="D114" s="42">
        <f t="shared" si="11"/>
        <v>0</v>
      </c>
      <c r="E114" s="42">
        <f t="shared" si="11"/>
        <v>0</v>
      </c>
      <c r="F114" s="42">
        <f t="shared" si="11"/>
        <v>0</v>
      </c>
      <c r="G114" s="42">
        <f t="shared" si="11"/>
        <v>0</v>
      </c>
      <c r="H114" s="42">
        <f t="shared" si="11"/>
        <v>0</v>
      </c>
      <c r="I114" s="42">
        <f t="shared" si="11"/>
        <v>0</v>
      </c>
      <c r="J114" s="42">
        <f t="shared" si="11"/>
        <v>0</v>
      </c>
      <c r="K114" s="42">
        <f t="shared" si="11"/>
        <v>0</v>
      </c>
      <c r="L114" s="42">
        <f t="shared" si="11"/>
        <v>0</v>
      </c>
      <c r="M114" s="42"/>
      <c r="N114" s="42"/>
      <c r="O114" s="42"/>
      <c r="P114" s="43">
        <f>P46*-1</f>
        <v>0</v>
      </c>
    </row>
    <row r="115" spans="1:16" ht="12.75" customHeight="1" x14ac:dyDescent="0.25">
      <c r="A115" s="18">
        <v>2.2999999999999998</v>
      </c>
      <c r="B115" s="4" t="s">
        <v>144</v>
      </c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3"/>
    </row>
    <row r="116" spans="1:16" ht="12.75" customHeight="1" x14ac:dyDescent="0.25">
      <c r="A116" s="18" t="s">
        <v>157</v>
      </c>
      <c r="B116" s="4" t="s">
        <v>208</v>
      </c>
      <c r="C116" s="42">
        <f t="shared" ref="C116:L116" si="12">C79*-1</f>
        <v>0</v>
      </c>
      <c r="D116" s="42">
        <f t="shared" si="12"/>
        <v>0</v>
      </c>
      <c r="E116" s="42">
        <f t="shared" si="12"/>
        <v>0</v>
      </c>
      <c r="F116" s="42">
        <f t="shared" si="12"/>
        <v>0</v>
      </c>
      <c r="G116" s="42">
        <f t="shared" si="12"/>
        <v>0</v>
      </c>
      <c r="H116" s="42">
        <f t="shared" si="12"/>
        <v>0</v>
      </c>
      <c r="I116" s="42">
        <f t="shared" si="12"/>
        <v>0</v>
      </c>
      <c r="J116" s="42">
        <f t="shared" si="12"/>
        <v>0</v>
      </c>
      <c r="K116" s="42">
        <f t="shared" si="12"/>
        <v>0</v>
      </c>
      <c r="L116" s="42">
        <f t="shared" si="12"/>
        <v>0</v>
      </c>
      <c r="M116" s="42"/>
      <c r="N116" s="42"/>
      <c r="O116" s="42"/>
      <c r="P116" s="43">
        <f>P79*-1</f>
        <v>0</v>
      </c>
    </row>
    <row r="117" spans="1:16" ht="12.75" customHeight="1" x14ac:dyDescent="0.25">
      <c r="A117" s="18"/>
      <c r="B117" s="4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3"/>
    </row>
    <row r="118" spans="1:16" ht="12.75" customHeight="1" x14ac:dyDescent="0.25">
      <c r="A118" s="19">
        <v>4.0999999999999996</v>
      </c>
      <c r="B118" s="5" t="s">
        <v>209</v>
      </c>
      <c r="C118" s="44">
        <v>-80.069762159999996</v>
      </c>
      <c r="D118" s="44">
        <v>-42.074622840000004</v>
      </c>
      <c r="E118" s="44">
        <v>-41.711723939999999</v>
      </c>
      <c r="F118" s="44">
        <v>-69.993205000000003</v>
      </c>
      <c r="G118" s="44">
        <v>-100.17142927</v>
      </c>
      <c r="H118" s="44">
        <v>-120.38574622</v>
      </c>
      <c r="I118" s="44">
        <v>-140.65447545999999</v>
      </c>
      <c r="J118" s="44">
        <v>-153.61392907999999</v>
      </c>
      <c r="K118" s="44">
        <v>-183.96495499</v>
      </c>
      <c r="L118" s="44">
        <v>-213.52636261000001</v>
      </c>
      <c r="M118" s="44"/>
      <c r="N118" s="44"/>
      <c r="O118" s="44"/>
      <c r="P118" s="45">
        <f>SUM(C118:O118)</f>
        <v>-1146.1662115699999</v>
      </c>
    </row>
    <row r="119" spans="1:16" ht="12.75" customHeight="1" x14ac:dyDescent="0.25">
      <c r="A119" s="20">
        <v>4.3</v>
      </c>
      <c r="B119" s="15" t="s">
        <v>210</v>
      </c>
      <c r="C119" s="46">
        <f t="shared" ref="C119:P119" si="13">SUM(C111:C118)</f>
        <v>-80.069762159999996</v>
      </c>
      <c r="D119" s="46">
        <f t="shared" si="13"/>
        <v>-42.074622840000004</v>
      </c>
      <c r="E119" s="46">
        <f t="shared" si="13"/>
        <v>-41.711723939999999</v>
      </c>
      <c r="F119" s="46">
        <f t="shared" si="13"/>
        <v>-69.993205000000003</v>
      </c>
      <c r="G119" s="46">
        <f t="shared" si="13"/>
        <v>-100.17142927</v>
      </c>
      <c r="H119" s="46">
        <f t="shared" si="13"/>
        <v>-120.38574622</v>
      </c>
      <c r="I119" s="46">
        <f t="shared" si="13"/>
        <v>-140.65447545999999</v>
      </c>
      <c r="J119" s="46">
        <f t="shared" si="13"/>
        <v>-153.61392907999999</v>
      </c>
      <c r="K119" s="46">
        <f t="shared" si="13"/>
        <v>-183.96495499</v>
      </c>
      <c r="L119" s="46">
        <f t="shared" si="13"/>
        <v>-213.52636261000001</v>
      </c>
      <c r="M119" s="46">
        <f t="shared" si="13"/>
        <v>0</v>
      </c>
      <c r="N119" s="46">
        <f t="shared" si="13"/>
        <v>0</v>
      </c>
      <c r="O119" s="46">
        <f t="shared" si="13"/>
        <v>0</v>
      </c>
      <c r="P119" s="47">
        <f t="shared" si="13"/>
        <v>-1146.1662115699999</v>
      </c>
    </row>
    <row r="120" spans="1:16" ht="12.75" customHeight="1" x14ac:dyDescent="0.25">
      <c r="A120" s="18"/>
      <c r="B120" s="4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3"/>
    </row>
    <row r="121" spans="1:16" ht="12.75" customHeight="1" x14ac:dyDescent="0.25">
      <c r="A121" s="21">
        <v>5</v>
      </c>
      <c r="B121" s="6" t="s">
        <v>211</v>
      </c>
      <c r="C121" s="48">
        <f t="shared" ref="C121:L121" si="14">C109-C119</f>
        <v>80.069762159999996</v>
      </c>
      <c r="D121" s="48">
        <f t="shared" si="14"/>
        <v>46042.074622840002</v>
      </c>
      <c r="E121" s="48">
        <f t="shared" si="14"/>
        <v>41.896723940000001</v>
      </c>
      <c r="F121" s="48">
        <f t="shared" si="14"/>
        <v>69.993205000000003</v>
      </c>
      <c r="G121" s="48">
        <f t="shared" si="14"/>
        <v>100.17142927</v>
      </c>
      <c r="H121" s="48">
        <f t="shared" si="14"/>
        <v>14797.385746219999</v>
      </c>
      <c r="I121" s="48">
        <f t="shared" si="14"/>
        <v>140.65447545999999</v>
      </c>
      <c r="J121" s="48">
        <f t="shared" si="14"/>
        <v>153.61392907999999</v>
      </c>
      <c r="K121" s="48">
        <f t="shared" si="14"/>
        <v>183.96495499</v>
      </c>
      <c r="L121" s="48">
        <f t="shared" si="14"/>
        <v>213.52636261000001</v>
      </c>
      <c r="M121" s="48"/>
      <c r="N121" s="48"/>
      <c r="O121" s="48"/>
      <c r="P121" s="49">
        <f>P109-P119</f>
        <v>61823.351211570058</v>
      </c>
    </row>
    <row r="122" spans="1:16" ht="12.75" customHeight="1" x14ac:dyDescent="0.25">
      <c r="A122" s="18"/>
      <c r="B122" s="4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3"/>
    </row>
    <row r="123" spans="1:16" ht="12.75" customHeight="1" x14ac:dyDescent="0.25">
      <c r="A123" s="18">
        <v>6</v>
      </c>
      <c r="B123" s="4" t="s">
        <v>212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3"/>
    </row>
    <row r="124" spans="1:16" ht="12.75" hidden="1" customHeight="1" x14ac:dyDescent="0.25">
      <c r="A124" s="18">
        <v>6.1</v>
      </c>
      <c r="B124" s="4" t="s">
        <v>213</v>
      </c>
      <c r="C124" s="42">
        <v>0</v>
      </c>
      <c r="D124" s="42">
        <v>0</v>
      </c>
      <c r="E124" s="42">
        <v>0</v>
      </c>
      <c r="F124" s="42">
        <v>0</v>
      </c>
      <c r="G124" s="42">
        <v>0.06</v>
      </c>
      <c r="H124" s="42">
        <v>0.06</v>
      </c>
      <c r="I124" s="42">
        <v>0.06</v>
      </c>
      <c r="J124" s="42">
        <v>0.06</v>
      </c>
      <c r="K124" s="42">
        <v>0.06</v>
      </c>
      <c r="L124" s="42">
        <v>0.06</v>
      </c>
      <c r="M124" s="42"/>
      <c r="N124" s="42"/>
      <c r="O124" s="42"/>
      <c r="P124" s="43"/>
    </row>
    <row r="125" spans="1:16" ht="12.75" customHeight="1" x14ac:dyDescent="0.25">
      <c r="A125" s="18" t="s">
        <v>214</v>
      </c>
      <c r="B125" s="4" t="s">
        <v>215</v>
      </c>
      <c r="C125" s="42">
        <f t="shared" ref="C125:L125" si="15">(C36-C18-C20-C33)*C124</f>
        <v>0</v>
      </c>
      <c r="D125" s="42">
        <f t="shared" si="15"/>
        <v>0</v>
      </c>
      <c r="E125" s="42">
        <f t="shared" si="15"/>
        <v>0</v>
      </c>
      <c r="F125" s="42">
        <f t="shared" si="15"/>
        <v>0</v>
      </c>
      <c r="G125" s="42">
        <f t="shared" si="15"/>
        <v>0</v>
      </c>
      <c r="H125" s="42">
        <f t="shared" si="15"/>
        <v>13135.019999999999</v>
      </c>
      <c r="I125" s="42">
        <f t="shared" si="15"/>
        <v>0</v>
      </c>
      <c r="J125" s="42">
        <f t="shared" si="15"/>
        <v>0</v>
      </c>
      <c r="K125" s="42">
        <f t="shared" si="15"/>
        <v>0</v>
      </c>
      <c r="L125" s="42">
        <f t="shared" si="15"/>
        <v>0</v>
      </c>
      <c r="M125" s="42"/>
      <c r="N125" s="42"/>
      <c r="O125" s="42"/>
      <c r="P125" s="43">
        <f>SUM(C125:O125)</f>
        <v>13135.019999999999</v>
      </c>
    </row>
    <row r="126" spans="1:16" ht="12.75" customHeight="1" x14ac:dyDescent="0.25">
      <c r="A126" s="18" t="s">
        <v>216</v>
      </c>
      <c r="B126" s="4" t="s">
        <v>217</v>
      </c>
      <c r="C126" s="42">
        <f t="shared" ref="C126:L126" si="16">(C36-C18-C20-C33)*0</f>
        <v>0</v>
      </c>
      <c r="D126" s="42">
        <f t="shared" si="16"/>
        <v>0</v>
      </c>
      <c r="E126" s="42">
        <f t="shared" si="16"/>
        <v>0</v>
      </c>
      <c r="F126" s="42">
        <f t="shared" si="16"/>
        <v>0</v>
      </c>
      <c r="G126" s="42">
        <f t="shared" si="16"/>
        <v>0</v>
      </c>
      <c r="H126" s="42">
        <f t="shared" si="16"/>
        <v>0</v>
      </c>
      <c r="I126" s="42">
        <f t="shared" si="16"/>
        <v>0</v>
      </c>
      <c r="J126" s="42">
        <f t="shared" si="16"/>
        <v>0</v>
      </c>
      <c r="K126" s="42">
        <f t="shared" si="16"/>
        <v>0</v>
      </c>
      <c r="L126" s="42">
        <f t="shared" si="16"/>
        <v>0</v>
      </c>
      <c r="M126" s="42"/>
      <c r="N126" s="42"/>
      <c r="O126" s="42"/>
      <c r="P126" s="43">
        <f>(P36-P18-P20-P33)*0</f>
        <v>0</v>
      </c>
    </row>
    <row r="127" spans="1:16" ht="12.75" customHeight="1" x14ac:dyDescent="0.25">
      <c r="A127" s="18">
        <v>6.2</v>
      </c>
      <c r="B127" s="4" t="s">
        <v>218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3"/>
    </row>
    <row r="128" spans="1:16" ht="12.75" customHeight="1" x14ac:dyDescent="0.25">
      <c r="A128" s="18"/>
      <c r="B128" s="4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3"/>
    </row>
    <row r="129" spans="1:16" ht="12.75" customHeight="1" x14ac:dyDescent="0.25">
      <c r="A129" s="22">
        <v>7</v>
      </c>
      <c r="B129" s="13" t="s">
        <v>219</v>
      </c>
      <c r="C129" s="50">
        <f t="shared" ref="C129:L129" si="17">C121-SUM(C125:C126)+IF(ISBLANK(C127), 0, C127)</f>
        <v>80.069762159999996</v>
      </c>
      <c r="D129" s="50">
        <f t="shared" si="17"/>
        <v>46042.074622840002</v>
      </c>
      <c r="E129" s="50">
        <f t="shared" si="17"/>
        <v>41.896723940000001</v>
      </c>
      <c r="F129" s="50">
        <f t="shared" si="17"/>
        <v>69.993205000000003</v>
      </c>
      <c r="G129" s="50">
        <f t="shared" si="17"/>
        <v>100.17142927</v>
      </c>
      <c r="H129" s="50">
        <f t="shared" si="17"/>
        <v>1662.3657462200008</v>
      </c>
      <c r="I129" s="50">
        <f t="shared" si="17"/>
        <v>140.65447545999999</v>
      </c>
      <c r="J129" s="50">
        <f t="shared" si="17"/>
        <v>153.61392907999999</v>
      </c>
      <c r="K129" s="50">
        <f t="shared" si="17"/>
        <v>183.96495499</v>
      </c>
      <c r="L129" s="50">
        <f t="shared" si="17"/>
        <v>213.52636261000001</v>
      </c>
      <c r="M129" s="50"/>
      <c r="N129" s="50"/>
      <c r="O129" s="50"/>
      <c r="P129" s="51">
        <f>P121-SUM(P125:P126)+IF(ISBLANK(P127), 0, P127)</f>
        <v>48688.331211570061</v>
      </c>
    </row>
    <row r="130" spans="1:16" ht="12.75" customHeight="1" x14ac:dyDescent="0.25">
      <c r="A130" s="23"/>
      <c r="B130" s="12" t="s">
        <v>220</v>
      </c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3"/>
    </row>
  </sheetData>
  <sheetProtection formatCells="0" formatColumns="0" formatRows="0" insertColumns="0" insertRows="0" insertHyperlinks="0" deleteColumns="0" deleteRows="0" sort="0" autoFilter="0" pivotTables="0"/>
  <mergeCells count="3">
    <mergeCell ref="G6:I7"/>
    <mergeCell ref="G11:I11"/>
    <mergeCell ref="O7:P8"/>
  </mergeCells>
  <phoneticPr fontId="6" type="noConversion"/>
  <printOptions horizontalCentered="1"/>
  <pageMargins left="3.9370078740157001E-2" right="3.9370078740157001E-2" top="0.23622047244093999" bottom="7.8740157480315001E-2" header="7.8740157480315001E-2" footer="7.8740157480315001E-2"/>
  <pageSetup paperSize="9" scale="55" fitToHeight="0" orientation="landscape" r:id="rId1"/>
  <headerFooter>
    <oddHeader>&amp;R&amp;"Times New Roman,Bold"&amp;10Page No.: &amp;P of &amp;N &amp;K00+000*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30"/>
  <sheetViews>
    <sheetView workbookViewId="0">
      <selection activeCell="P129" sqref="P129"/>
    </sheetView>
  </sheetViews>
  <sheetFormatPr defaultColWidth="14.28515625" defaultRowHeight="12.75" customHeight="1" x14ac:dyDescent="0.25"/>
  <cols>
    <col min="1" max="1" width="19.42578125" style="1" customWidth="1"/>
    <col min="2" max="2" width="42.85546875" style="1" customWidth="1"/>
    <col min="3" max="3" width="14.28515625" style="1"/>
  </cols>
  <sheetData>
    <row r="1" spans="1:16" ht="12.75" customHeight="1" x14ac:dyDescent="0.25">
      <c r="A1" s="2" t="s">
        <v>0</v>
      </c>
      <c r="B1" s="14"/>
      <c r="C1" s="2"/>
      <c r="P1" s="1"/>
    </row>
    <row r="2" spans="1:16" ht="12.75" customHeight="1" x14ac:dyDescent="0.25">
      <c r="A2" s="2"/>
      <c r="B2" s="14"/>
      <c r="C2" s="2"/>
      <c r="P2" s="58" t="s">
        <v>1</v>
      </c>
    </row>
    <row r="3" spans="1:16" ht="12.75" customHeight="1" x14ac:dyDescent="0.25">
      <c r="A3" s="2" t="s">
        <v>2</v>
      </c>
      <c r="B3" s="14">
        <v>1130</v>
      </c>
      <c r="C3" s="2"/>
      <c r="P3" s="1"/>
    </row>
    <row r="4" spans="1:16" ht="12.75" customHeight="1" x14ac:dyDescent="0.25">
      <c r="A4" s="2" t="s">
        <v>3</v>
      </c>
      <c r="B4" s="14" t="s">
        <v>4</v>
      </c>
      <c r="C4" s="2"/>
      <c r="P4" s="1"/>
    </row>
    <row r="5" spans="1:16" ht="12.75" customHeight="1" x14ac:dyDescent="0.25">
      <c r="A5" s="2" t="s">
        <v>5</v>
      </c>
      <c r="B5" s="14" t="s">
        <v>6</v>
      </c>
      <c r="C5" s="2"/>
      <c r="P5" s="1"/>
    </row>
    <row r="6" spans="1:16" ht="12.75" customHeight="1" x14ac:dyDescent="0.25">
      <c r="A6" s="2" t="s">
        <v>7</v>
      </c>
      <c r="B6" s="14" t="s">
        <v>8</v>
      </c>
      <c r="C6" s="2"/>
      <c r="G6" s="59" t="s">
        <v>9</v>
      </c>
      <c r="H6" s="59"/>
      <c r="I6" s="59"/>
      <c r="P6" s="1"/>
    </row>
    <row r="7" spans="1:16" ht="12.75" customHeight="1" x14ac:dyDescent="0.25">
      <c r="A7" s="2" t="s">
        <v>10</v>
      </c>
      <c r="B7" s="14" t="s">
        <v>11</v>
      </c>
      <c r="C7" s="57">
        <f>IFERROR((B5-B6)/(LEFT(B7, FIND(REPT(" ", 32), B7))-B6), "")</f>
        <v>0.22442653440793553</v>
      </c>
      <c r="G7" s="59"/>
      <c r="H7" s="59"/>
      <c r="I7" s="59"/>
      <c r="O7" s="67" t="s">
        <v>12</v>
      </c>
      <c r="P7" s="67"/>
    </row>
    <row r="8" spans="1:16" ht="12.75" customHeight="1" x14ac:dyDescent="0.25">
      <c r="A8" s="2" t="s">
        <v>13</v>
      </c>
      <c r="B8" s="14" t="s">
        <v>14</v>
      </c>
      <c r="C8" s="57" t="str">
        <f>IFERROR((B5-B6)/(LEFT(B8, FIND(REPT(" ", 32), B8))-B6), "")</f>
        <v/>
      </c>
      <c r="O8" s="67"/>
      <c r="P8" s="67"/>
    </row>
    <row r="9" spans="1:16" ht="12.75" customHeight="1" x14ac:dyDescent="0.25">
      <c r="B9" s="56"/>
      <c r="P9" s="1"/>
    </row>
    <row r="11" spans="1:16" ht="25.5" customHeight="1" x14ac:dyDescent="0.25">
      <c r="A11" s="8" t="s">
        <v>15</v>
      </c>
      <c r="B11" s="9"/>
      <c r="C11" s="9"/>
      <c r="D11" s="9"/>
      <c r="E11" s="9"/>
      <c r="F11" s="9"/>
      <c r="G11" s="66" t="s">
        <v>235</v>
      </c>
      <c r="H11" s="66"/>
      <c r="I11" s="66"/>
      <c r="J11" s="9"/>
      <c r="K11" s="9"/>
      <c r="L11" s="9"/>
      <c r="M11" s="9"/>
      <c r="N11" s="9"/>
      <c r="O11" s="9"/>
      <c r="P11" s="10"/>
    </row>
    <row r="12" spans="1:16" ht="12.75" customHeight="1" x14ac:dyDescent="0.2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ht="12.75" customHeight="1" x14ac:dyDescent="0.25">
      <c r="A13" s="17">
        <v>1</v>
      </c>
      <c r="B13" s="3" t="s">
        <v>49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5"/>
    </row>
    <row r="14" spans="1:16" ht="12.75" customHeight="1" x14ac:dyDescent="0.25">
      <c r="A14" s="18">
        <v>1.1000000000000001</v>
      </c>
      <c r="B14" s="4" t="s">
        <v>50</v>
      </c>
      <c r="C14" s="42">
        <v>630000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/>
      <c r="N14" s="42"/>
      <c r="O14" s="42"/>
      <c r="P14" s="43">
        <f>SUM(C14:O14)</f>
        <v>630000</v>
      </c>
    </row>
    <row r="15" spans="1:16" ht="12.75" customHeight="1" x14ac:dyDescent="0.25">
      <c r="A15" s="18">
        <v>1.2</v>
      </c>
      <c r="B15" s="4" t="s">
        <v>51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3"/>
    </row>
    <row r="16" spans="1:16" ht="12.75" customHeight="1" x14ac:dyDescent="0.25">
      <c r="A16" s="18" t="s">
        <v>52</v>
      </c>
      <c r="B16" s="4" t="s">
        <v>53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/>
      <c r="N16" s="42"/>
      <c r="O16" s="42"/>
      <c r="P16" s="43">
        <f t="shared" ref="P16:P26" si="0">SUM(C16:O16)</f>
        <v>0</v>
      </c>
    </row>
    <row r="17" spans="1:16" ht="12.75" customHeight="1" x14ac:dyDescent="0.25">
      <c r="A17" s="18" t="s">
        <v>54</v>
      </c>
      <c r="B17" s="4" t="s">
        <v>55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/>
      <c r="N17" s="42"/>
      <c r="O17" s="42"/>
      <c r="P17" s="43">
        <f t="shared" si="0"/>
        <v>0</v>
      </c>
    </row>
    <row r="18" spans="1:16" ht="12.75" customHeight="1" x14ac:dyDescent="0.25">
      <c r="A18" s="18">
        <v>1.3</v>
      </c>
      <c r="B18" s="4" t="s">
        <v>56</v>
      </c>
      <c r="C18" s="42">
        <v>49</v>
      </c>
      <c r="D18" s="42">
        <v>26</v>
      </c>
      <c r="E18" s="42">
        <v>25</v>
      </c>
      <c r="F18" s="42">
        <v>25</v>
      </c>
      <c r="G18" s="42">
        <v>100</v>
      </c>
      <c r="H18" s="42">
        <v>26</v>
      </c>
      <c r="I18" s="42">
        <v>25</v>
      </c>
      <c r="J18" s="42">
        <v>25</v>
      </c>
      <c r="K18" s="42">
        <v>26</v>
      </c>
      <c r="L18" s="42">
        <v>25</v>
      </c>
      <c r="M18" s="42"/>
      <c r="N18" s="42"/>
      <c r="O18" s="42"/>
      <c r="P18" s="43">
        <f t="shared" si="0"/>
        <v>352</v>
      </c>
    </row>
    <row r="19" spans="1:16" ht="12.75" customHeight="1" x14ac:dyDescent="0.25">
      <c r="A19" s="18">
        <v>1.4</v>
      </c>
      <c r="B19" s="4" t="s">
        <v>57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/>
      <c r="N19" s="42"/>
      <c r="O19" s="42"/>
      <c r="P19" s="43">
        <f t="shared" si="0"/>
        <v>0</v>
      </c>
    </row>
    <row r="20" spans="1:16" ht="12.75" customHeight="1" x14ac:dyDescent="0.25">
      <c r="A20" s="18">
        <v>1.5</v>
      </c>
      <c r="B20" s="4" t="s">
        <v>58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/>
      <c r="N20" s="42"/>
      <c r="O20" s="42"/>
      <c r="P20" s="43">
        <f t="shared" si="0"/>
        <v>0</v>
      </c>
    </row>
    <row r="21" spans="1:16" ht="12.75" customHeight="1" x14ac:dyDescent="0.25">
      <c r="A21" s="18">
        <v>1.6</v>
      </c>
      <c r="B21" s="4" t="s">
        <v>59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/>
      <c r="N21" s="42"/>
      <c r="O21" s="42"/>
      <c r="P21" s="43">
        <f t="shared" si="0"/>
        <v>0</v>
      </c>
    </row>
    <row r="22" spans="1:16" ht="12.75" customHeight="1" x14ac:dyDescent="0.25">
      <c r="A22" s="18">
        <v>1.7</v>
      </c>
      <c r="B22" s="4" t="s">
        <v>60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/>
      <c r="N22" s="42"/>
      <c r="O22" s="42"/>
      <c r="P22" s="43">
        <f t="shared" si="0"/>
        <v>0</v>
      </c>
    </row>
    <row r="23" spans="1:16" ht="12.75" customHeight="1" x14ac:dyDescent="0.25">
      <c r="A23" s="18">
        <v>1.8</v>
      </c>
      <c r="B23" s="4" t="s">
        <v>61</v>
      </c>
      <c r="C23" s="42">
        <v>-33</v>
      </c>
      <c r="D23" s="42">
        <v>-4</v>
      </c>
      <c r="E23" s="42">
        <v>-37</v>
      </c>
      <c r="F23" s="42">
        <v>-151</v>
      </c>
      <c r="G23" s="42">
        <v>-245</v>
      </c>
      <c r="H23" s="42">
        <v>-293</v>
      </c>
      <c r="I23" s="42">
        <v>-226</v>
      </c>
      <c r="J23" s="42">
        <v>-19</v>
      </c>
      <c r="K23" s="42">
        <v>-43</v>
      </c>
      <c r="L23" s="42">
        <v>-87</v>
      </c>
      <c r="M23" s="42"/>
      <c r="N23" s="42"/>
      <c r="O23" s="42"/>
      <c r="P23" s="43">
        <f t="shared" si="0"/>
        <v>-1138</v>
      </c>
    </row>
    <row r="24" spans="1:16" ht="12.75" customHeight="1" x14ac:dyDescent="0.25">
      <c r="A24" s="18">
        <v>1.9</v>
      </c>
      <c r="B24" s="4" t="s">
        <v>62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/>
      <c r="N24" s="42"/>
      <c r="O24" s="42"/>
      <c r="P24" s="43">
        <f t="shared" si="0"/>
        <v>0</v>
      </c>
    </row>
    <row r="25" spans="1:16" ht="12.75" customHeight="1" x14ac:dyDescent="0.25">
      <c r="A25" s="18" t="s">
        <v>63</v>
      </c>
      <c r="B25" s="4" t="s">
        <v>64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/>
      <c r="N25" s="42"/>
      <c r="O25" s="42"/>
      <c r="P25" s="43">
        <f t="shared" si="0"/>
        <v>0</v>
      </c>
    </row>
    <row r="26" spans="1:16" ht="12.75" customHeight="1" x14ac:dyDescent="0.25">
      <c r="A26" s="18">
        <v>1.1100000000000001</v>
      </c>
      <c r="B26" s="4" t="s">
        <v>65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/>
      <c r="N26" s="42"/>
      <c r="O26" s="42"/>
      <c r="P26" s="43">
        <f t="shared" si="0"/>
        <v>0</v>
      </c>
    </row>
    <row r="27" spans="1:16" ht="12.75" customHeight="1" x14ac:dyDescent="0.25">
      <c r="A27" s="18">
        <v>1.1200000000000001</v>
      </c>
      <c r="B27" s="4" t="s">
        <v>66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3"/>
    </row>
    <row r="28" spans="1:16" ht="12.75" customHeight="1" x14ac:dyDescent="0.25">
      <c r="A28" s="18" t="s">
        <v>67</v>
      </c>
      <c r="B28" s="4" t="s">
        <v>68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/>
      <c r="N28" s="42"/>
      <c r="O28" s="42"/>
      <c r="P28" s="43">
        <f t="shared" ref="P28:P35" si="1">SUM(C28:O28)</f>
        <v>0</v>
      </c>
    </row>
    <row r="29" spans="1:16" ht="12.75" customHeight="1" x14ac:dyDescent="0.25">
      <c r="A29" s="18" t="s">
        <v>69</v>
      </c>
      <c r="B29" s="4" t="s">
        <v>70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/>
      <c r="N29" s="42"/>
      <c r="O29" s="42"/>
      <c r="P29" s="43">
        <f t="shared" si="1"/>
        <v>0</v>
      </c>
    </row>
    <row r="30" spans="1:16" ht="12.75" customHeight="1" x14ac:dyDescent="0.25">
      <c r="A30" s="18" t="s">
        <v>71</v>
      </c>
      <c r="B30" s="4" t="s">
        <v>72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/>
      <c r="N30" s="42"/>
      <c r="O30" s="42"/>
      <c r="P30" s="43">
        <f t="shared" si="1"/>
        <v>0</v>
      </c>
    </row>
    <row r="31" spans="1:16" ht="12.75" customHeight="1" x14ac:dyDescent="0.25">
      <c r="A31" s="18">
        <v>1.1299999999999999</v>
      </c>
      <c r="B31" s="4" t="s">
        <v>73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/>
      <c r="N31" s="42"/>
      <c r="O31" s="42"/>
      <c r="P31" s="43">
        <f t="shared" si="1"/>
        <v>0</v>
      </c>
    </row>
    <row r="32" spans="1:16" ht="12.75" customHeight="1" x14ac:dyDescent="0.25">
      <c r="A32" s="18">
        <v>1.1399999999999999</v>
      </c>
      <c r="B32" s="4" t="s">
        <v>74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/>
      <c r="N32" s="42"/>
      <c r="O32" s="42"/>
      <c r="P32" s="43">
        <f t="shared" si="1"/>
        <v>0</v>
      </c>
    </row>
    <row r="33" spans="1:16" ht="12.75" customHeight="1" x14ac:dyDescent="0.25">
      <c r="A33" s="18">
        <v>1.1499999999999999</v>
      </c>
      <c r="B33" s="4" t="s">
        <v>75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/>
      <c r="N33" s="42"/>
      <c r="O33" s="42"/>
      <c r="P33" s="43">
        <f t="shared" si="1"/>
        <v>0</v>
      </c>
    </row>
    <row r="34" spans="1:16" ht="12.75" customHeight="1" x14ac:dyDescent="0.25">
      <c r="A34" s="18">
        <v>1.1599999999999999</v>
      </c>
      <c r="B34" s="4" t="s">
        <v>76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/>
      <c r="N34" s="42"/>
      <c r="O34" s="42"/>
      <c r="P34" s="43">
        <f t="shared" si="1"/>
        <v>0</v>
      </c>
    </row>
    <row r="35" spans="1:16" ht="12.75" customHeight="1" x14ac:dyDescent="0.25">
      <c r="A35" s="19">
        <v>1.17</v>
      </c>
      <c r="B35" s="5" t="s">
        <v>77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/>
      <c r="N35" s="44"/>
      <c r="O35" s="44"/>
      <c r="P35" s="45">
        <f t="shared" si="1"/>
        <v>0</v>
      </c>
    </row>
    <row r="36" spans="1:16" ht="12.75" customHeight="1" x14ac:dyDescent="0.25">
      <c r="A36" s="20"/>
      <c r="B36" s="15" t="s">
        <v>78</v>
      </c>
      <c r="C36" s="46">
        <f t="shared" ref="C36:P36" si="2">SUM(C13:C35)</f>
        <v>630016</v>
      </c>
      <c r="D36" s="46">
        <f t="shared" si="2"/>
        <v>22</v>
      </c>
      <c r="E36" s="46">
        <f t="shared" si="2"/>
        <v>-12</v>
      </c>
      <c r="F36" s="46">
        <f t="shared" si="2"/>
        <v>-126</v>
      </c>
      <c r="G36" s="46">
        <f t="shared" si="2"/>
        <v>-145</v>
      </c>
      <c r="H36" s="46">
        <f t="shared" si="2"/>
        <v>-267</v>
      </c>
      <c r="I36" s="46">
        <f t="shared" si="2"/>
        <v>-201</v>
      </c>
      <c r="J36" s="46">
        <f t="shared" si="2"/>
        <v>6</v>
      </c>
      <c r="K36" s="46">
        <f t="shared" si="2"/>
        <v>-17</v>
      </c>
      <c r="L36" s="46">
        <f t="shared" si="2"/>
        <v>-62</v>
      </c>
      <c r="M36" s="46">
        <f t="shared" si="2"/>
        <v>0</v>
      </c>
      <c r="N36" s="46">
        <f t="shared" si="2"/>
        <v>0</v>
      </c>
      <c r="O36" s="46">
        <f t="shared" si="2"/>
        <v>0</v>
      </c>
      <c r="P36" s="47">
        <f t="shared" si="2"/>
        <v>629214</v>
      </c>
    </row>
    <row r="37" spans="1:16" ht="12.75" customHeight="1" x14ac:dyDescent="0.25">
      <c r="A37" s="18"/>
      <c r="B37" s="4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3"/>
    </row>
    <row r="38" spans="1:16" ht="12.75" customHeight="1" x14ac:dyDescent="0.25">
      <c r="A38" s="18">
        <v>2</v>
      </c>
      <c r="B38" s="4" t="s">
        <v>79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3"/>
    </row>
    <row r="39" spans="1:16" ht="12.75" customHeight="1" x14ac:dyDescent="0.25">
      <c r="A39" s="18">
        <v>2.1</v>
      </c>
      <c r="B39" s="4" t="s">
        <v>80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3"/>
    </row>
    <row r="40" spans="1:16" ht="12.75" customHeight="1" x14ac:dyDescent="0.25">
      <c r="A40" s="18" t="s">
        <v>81</v>
      </c>
      <c r="B40" s="4" t="s">
        <v>82</v>
      </c>
      <c r="C40" s="42">
        <v>528.63</v>
      </c>
      <c r="D40" s="42">
        <v>935.41409999999996</v>
      </c>
      <c r="E40" s="42">
        <v>1171.2907</v>
      </c>
      <c r="F40" s="42">
        <v>1056.1077</v>
      </c>
      <c r="G40" s="42">
        <v>745.01800000000003</v>
      </c>
      <c r="H40" s="42">
        <v>1230.5106000000001</v>
      </c>
      <c r="I40" s="42">
        <v>1208.5597</v>
      </c>
      <c r="J40" s="42">
        <v>1452.7088000000001</v>
      </c>
      <c r="K40" s="42">
        <v>1268.4377999999999</v>
      </c>
      <c r="L40" s="42">
        <v>1550.7056</v>
      </c>
      <c r="M40" s="42"/>
      <c r="N40" s="42"/>
      <c r="O40" s="42"/>
      <c r="P40" s="43">
        <f t="shared" ref="P40:P52" si="3">SUM(C40:O40)</f>
        <v>11147.383</v>
      </c>
    </row>
    <row r="41" spans="1:16" ht="12.75" customHeight="1" x14ac:dyDescent="0.25">
      <c r="A41" s="18" t="s">
        <v>83</v>
      </c>
      <c r="B41" s="4" t="s">
        <v>84</v>
      </c>
      <c r="C41" s="42">
        <v>0</v>
      </c>
      <c r="D41" s="42">
        <v>18.754000000000001</v>
      </c>
      <c r="E41" s="42">
        <v>20.5273</v>
      </c>
      <c r="F41" s="42">
        <v>29.6386</v>
      </c>
      <c r="G41" s="42">
        <v>58.72</v>
      </c>
      <c r="H41" s="42">
        <v>79.061599999999999</v>
      </c>
      <c r="I41" s="42">
        <v>63.7791</v>
      </c>
      <c r="J41" s="42">
        <v>13.526999999999999</v>
      </c>
      <c r="K41" s="42">
        <v>29.375599999999999</v>
      </c>
      <c r="L41" s="42">
        <v>59.172699999999999</v>
      </c>
      <c r="M41" s="42"/>
      <c r="N41" s="42"/>
      <c r="O41" s="42"/>
      <c r="P41" s="43">
        <f t="shared" si="3"/>
        <v>372.55590000000001</v>
      </c>
    </row>
    <row r="42" spans="1:16" ht="12.75" customHeight="1" x14ac:dyDescent="0.25">
      <c r="A42" s="18" t="s">
        <v>85</v>
      </c>
      <c r="B42" s="4" t="s">
        <v>86</v>
      </c>
      <c r="C42" s="42">
        <v>3.51</v>
      </c>
      <c r="D42" s="42">
        <v>0</v>
      </c>
      <c r="E42" s="42">
        <v>39.032499999999999</v>
      </c>
      <c r="F42" s="42">
        <v>27.194500000000001</v>
      </c>
      <c r="G42" s="42">
        <v>55.67</v>
      </c>
      <c r="H42" s="42">
        <v>76.557400000000001</v>
      </c>
      <c r="I42" s="42">
        <v>107.33450000000001</v>
      </c>
      <c r="J42" s="42">
        <v>108.9948</v>
      </c>
      <c r="K42" s="42">
        <v>182.8263</v>
      </c>
      <c r="L42" s="42">
        <v>168.6729</v>
      </c>
      <c r="M42" s="42"/>
      <c r="N42" s="42"/>
      <c r="O42" s="42"/>
      <c r="P42" s="43">
        <f t="shared" si="3"/>
        <v>769.79290000000003</v>
      </c>
    </row>
    <row r="43" spans="1:16" ht="12.75" customHeight="1" x14ac:dyDescent="0.25">
      <c r="A43" s="18" t="s">
        <v>87</v>
      </c>
      <c r="B43" s="4" t="s">
        <v>88</v>
      </c>
      <c r="C43" s="42">
        <v>0</v>
      </c>
      <c r="D43" s="42">
        <v>0.79900000000000004</v>
      </c>
      <c r="E43" s="42">
        <v>0.79800000000000004</v>
      </c>
      <c r="F43" s="42">
        <v>37.93</v>
      </c>
      <c r="G43" s="42">
        <v>46</v>
      </c>
      <c r="H43" s="42">
        <v>65.260000000000005</v>
      </c>
      <c r="I43" s="42">
        <v>97.566599999999994</v>
      </c>
      <c r="J43" s="42">
        <v>150.55000000000001</v>
      </c>
      <c r="K43" s="42">
        <v>112.7334</v>
      </c>
      <c r="L43" s="42">
        <v>123.0172</v>
      </c>
      <c r="M43" s="42"/>
      <c r="N43" s="42"/>
      <c r="O43" s="42"/>
      <c r="P43" s="43">
        <f t="shared" si="3"/>
        <v>634.65419999999995</v>
      </c>
    </row>
    <row r="44" spans="1:16" ht="12.75" customHeight="1" x14ac:dyDescent="0.25">
      <c r="A44" s="18" t="s">
        <v>89</v>
      </c>
      <c r="B44" s="4" t="s">
        <v>90</v>
      </c>
      <c r="C44" s="42">
        <v>0</v>
      </c>
      <c r="D44" s="42">
        <v>66.78</v>
      </c>
      <c r="E44" s="42">
        <v>2.9119999999999999</v>
      </c>
      <c r="F44" s="42">
        <v>6111.4650000000001</v>
      </c>
      <c r="G44" s="42">
        <v>6.7539999999999996</v>
      </c>
      <c r="H44" s="42">
        <v>84.784000000000006</v>
      </c>
      <c r="I44" s="42">
        <v>144.42400000000001</v>
      </c>
      <c r="J44" s="42">
        <v>109.081</v>
      </c>
      <c r="K44" s="42">
        <v>136.864</v>
      </c>
      <c r="L44" s="42">
        <v>198.852</v>
      </c>
      <c r="M44" s="42"/>
      <c r="N44" s="42"/>
      <c r="O44" s="42"/>
      <c r="P44" s="43">
        <f t="shared" si="3"/>
        <v>6861.9159999999993</v>
      </c>
    </row>
    <row r="45" spans="1:16" ht="12.75" customHeight="1" x14ac:dyDescent="0.25">
      <c r="A45" s="18" t="s">
        <v>91</v>
      </c>
      <c r="B45" s="4" t="s">
        <v>92</v>
      </c>
      <c r="C45" s="42">
        <v>340.529</v>
      </c>
      <c r="D45" s="42">
        <v>1024.9247800000001</v>
      </c>
      <c r="E45" s="42">
        <v>1035.20261</v>
      </c>
      <c r="F45" s="42">
        <v>787.25899000000004</v>
      </c>
      <c r="G45" s="42">
        <v>4176.2017299999998</v>
      </c>
      <c r="H45" s="42">
        <v>242.44676999999999</v>
      </c>
      <c r="I45" s="42">
        <v>685.89093000000003</v>
      </c>
      <c r="J45" s="42">
        <v>1353.5615399999999</v>
      </c>
      <c r="K45" s="42">
        <v>1014.18903</v>
      </c>
      <c r="L45" s="42">
        <v>884.70582999999999</v>
      </c>
      <c r="M45" s="42"/>
      <c r="N45" s="42"/>
      <c r="O45" s="42"/>
      <c r="P45" s="43">
        <f t="shared" si="3"/>
        <v>11544.91121</v>
      </c>
    </row>
    <row r="46" spans="1:16" ht="12.75" customHeight="1" x14ac:dyDescent="0.25">
      <c r="A46" s="18" t="s">
        <v>93</v>
      </c>
      <c r="B46" s="4" t="s">
        <v>94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/>
      <c r="N46" s="42"/>
      <c r="O46" s="42"/>
      <c r="P46" s="43">
        <f t="shared" si="3"/>
        <v>0</v>
      </c>
    </row>
    <row r="47" spans="1:16" ht="12.75" customHeight="1" x14ac:dyDescent="0.25">
      <c r="A47" s="18" t="s">
        <v>95</v>
      </c>
      <c r="B47" s="4" t="s">
        <v>96</v>
      </c>
      <c r="C47" s="42">
        <v>0</v>
      </c>
      <c r="D47" s="42">
        <v>0</v>
      </c>
      <c r="E47" s="42">
        <v>1.913</v>
      </c>
      <c r="F47" s="42">
        <v>11.914</v>
      </c>
      <c r="G47" s="42">
        <v>0</v>
      </c>
      <c r="H47" s="42">
        <v>2.1259999999999999</v>
      </c>
      <c r="I47" s="42">
        <v>2.8239999999999998</v>
      </c>
      <c r="J47" s="42">
        <v>3.57</v>
      </c>
      <c r="K47" s="42">
        <v>3.0720000000000001</v>
      </c>
      <c r="L47" s="42">
        <v>0</v>
      </c>
      <c r="M47" s="42"/>
      <c r="N47" s="42"/>
      <c r="O47" s="42"/>
      <c r="P47" s="43">
        <f t="shared" si="3"/>
        <v>25.419</v>
      </c>
    </row>
    <row r="48" spans="1:16" ht="12.75" customHeight="1" x14ac:dyDescent="0.25">
      <c r="A48" s="18" t="s">
        <v>97</v>
      </c>
      <c r="B48" s="4" t="s">
        <v>98</v>
      </c>
      <c r="C48" s="42">
        <v>834</v>
      </c>
      <c r="D48" s="42">
        <v>1134.5</v>
      </c>
      <c r="E48" s="42">
        <v>1175</v>
      </c>
      <c r="F48" s="42">
        <v>250</v>
      </c>
      <c r="G48" s="42">
        <v>0</v>
      </c>
      <c r="H48" s="42">
        <v>0</v>
      </c>
      <c r="I48" s="42">
        <v>0</v>
      </c>
      <c r="J48" s="42">
        <v>2</v>
      </c>
      <c r="K48" s="42">
        <v>2</v>
      </c>
      <c r="L48" s="42">
        <v>0</v>
      </c>
      <c r="M48" s="42"/>
      <c r="N48" s="42"/>
      <c r="O48" s="42"/>
      <c r="P48" s="43">
        <f t="shared" si="3"/>
        <v>3397.5</v>
      </c>
    </row>
    <row r="49" spans="1:16" ht="12.75" customHeight="1" x14ac:dyDescent="0.25">
      <c r="A49" s="18" t="s">
        <v>99</v>
      </c>
      <c r="B49" s="4" t="s">
        <v>100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/>
      <c r="N49" s="42"/>
      <c r="O49" s="42"/>
      <c r="P49" s="43">
        <f t="shared" si="3"/>
        <v>0</v>
      </c>
    </row>
    <row r="50" spans="1:16" ht="12.75" customHeight="1" x14ac:dyDescent="0.25">
      <c r="A50" s="18" t="s">
        <v>101</v>
      </c>
      <c r="B50" s="4" t="s">
        <v>102</v>
      </c>
      <c r="C50" s="42">
        <v>58.03</v>
      </c>
      <c r="D50" s="42">
        <v>38.700000000000003</v>
      </c>
      <c r="E50" s="42">
        <v>122.01900000000001</v>
      </c>
      <c r="F50" s="42">
        <v>166.86256</v>
      </c>
      <c r="G50" s="42">
        <v>6945.1379999999999</v>
      </c>
      <c r="H50" s="42">
        <v>159.71779000000001</v>
      </c>
      <c r="I50" s="42">
        <v>141.727</v>
      </c>
      <c r="J50" s="42">
        <v>45.870899999999999</v>
      </c>
      <c r="K50" s="42">
        <v>232.947</v>
      </c>
      <c r="L50" s="42">
        <v>236.6634</v>
      </c>
      <c r="M50" s="42"/>
      <c r="N50" s="42"/>
      <c r="O50" s="42"/>
      <c r="P50" s="43">
        <f t="shared" si="3"/>
        <v>8147.6756500000001</v>
      </c>
    </row>
    <row r="51" spans="1:16" ht="12.75" customHeight="1" x14ac:dyDescent="0.25">
      <c r="A51" s="18" t="s">
        <v>103</v>
      </c>
      <c r="B51" s="4" t="s">
        <v>104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/>
      <c r="N51" s="42"/>
      <c r="O51" s="42"/>
      <c r="P51" s="43">
        <f t="shared" si="3"/>
        <v>0</v>
      </c>
    </row>
    <row r="52" spans="1:16" ht="12.75" customHeight="1" x14ac:dyDescent="0.25">
      <c r="A52" s="18" t="s">
        <v>105</v>
      </c>
      <c r="B52" s="4" t="s">
        <v>106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/>
      <c r="N52" s="42"/>
      <c r="O52" s="42"/>
      <c r="P52" s="43">
        <f t="shared" si="3"/>
        <v>0</v>
      </c>
    </row>
    <row r="53" spans="1:16" ht="12.75" customHeight="1" x14ac:dyDescent="0.25">
      <c r="A53" s="18">
        <v>2.2000000000000002</v>
      </c>
      <c r="B53" s="4" t="s">
        <v>107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3"/>
    </row>
    <row r="54" spans="1:16" ht="12.75" customHeight="1" x14ac:dyDescent="0.25">
      <c r="A54" s="18" t="s">
        <v>108</v>
      </c>
      <c r="B54" s="4" t="s">
        <v>109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/>
      <c r="N54" s="42"/>
      <c r="O54" s="42"/>
      <c r="P54" s="43">
        <f t="shared" ref="P54:P71" si="4">SUM(C54:O54)</f>
        <v>0</v>
      </c>
    </row>
    <row r="55" spans="1:16" ht="12.75" customHeight="1" x14ac:dyDescent="0.25">
      <c r="A55" s="18" t="s">
        <v>110</v>
      </c>
      <c r="B55" s="4" t="s">
        <v>111</v>
      </c>
      <c r="C55" s="42">
        <v>0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/>
      <c r="N55" s="42"/>
      <c r="O55" s="42"/>
      <c r="P55" s="43">
        <f t="shared" si="4"/>
        <v>0</v>
      </c>
    </row>
    <row r="56" spans="1:16" ht="12.75" customHeight="1" x14ac:dyDescent="0.25">
      <c r="A56" s="18" t="s">
        <v>112</v>
      </c>
      <c r="B56" s="4" t="s">
        <v>113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/>
      <c r="N56" s="42"/>
      <c r="O56" s="42"/>
      <c r="P56" s="43">
        <f t="shared" si="4"/>
        <v>0</v>
      </c>
    </row>
    <row r="57" spans="1:16" ht="12.75" customHeight="1" x14ac:dyDescent="0.25">
      <c r="A57" s="18" t="s">
        <v>114</v>
      </c>
      <c r="B57" s="4" t="s">
        <v>115</v>
      </c>
      <c r="C57" s="42">
        <v>0</v>
      </c>
      <c r="D57" s="42">
        <v>0</v>
      </c>
      <c r="E57" s="42">
        <v>0</v>
      </c>
      <c r="F57" s="42">
        <v>0</v>
      </c>
      <c r="G57" s="42">
        <v>58.8</v>
      </c>
      <c r="H57" s="42">
        <v>0</v>
      </c>
      <c r="I57" s="42">
        <v>6781.32</v>
      </c>
      <c r="J57" s="42">
        <v>0</v>
      </c>
      <c r="K57" s="42">
        <v>0</v>
      </c>
      <c r="L57" s="42">
        <v>0</v>
      </c>
      <c r="M57" s="42"/>
      <c r="N57" s="42"/>
      <c r="O57" s="42"/>
      <c r="P57" s="43">
        <f t="shared" si="4"/>
        <v>6840.12</v>
      </c>
    </row>
    <row r="58" spans="1:16" ht="12.75" customHeight="1" x14ac:dyDescent="0.25">
      <c r="A58" s="18" t="s">
        <v>116</v>
      </c>
      <c r="B58" s="4" t="s">
        <v>117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/>
      <c r="N58" s="42"/>
      <c r="O58" s="42"/>
      <c r="P58" s="43">
        <f t="shared" si="4"/>
        <v>0</v>
      </c>
    </row>
    <row r="59" spans="1:16" ht="12.75" customHeight="1" x14ac:dyDescent="0.25">
      <c r="A59" s="18" t="s">
        <v>118</v>
      </c>
      <c r="B59" s="4" t="s">
        <v>119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/>
      <c r="N59" s="42"/>
      <c r="O59" s="42"/>
      <c r="P59" s="43">
        <f t="shared" si="4"/>
        <v>0</v>
      </c>
    </row>
    <row r="60" spans="1:16" ht="12.75" customHeight="1" x14ac:dyDescent="0.25">
      <c r="A60" s="18" t="s">
        <v>120</v>
      </c>
      <c r="B60" s="4" t="s">
        <v>121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/>
      <c r="N60" s="42"/>
      <c r="O60" s="42"/>
      <c r="P60" s="43">
        <f t="shared" si="4"/>
        <v>0</v>
      </c>
    </row>
    <row r="61" spans="1:16" ht="12.75" customHeight="1" x14ac:dyDescent="0.25">
      <c r="A61" s="18" t="s">
        <v>122</v>
      </c>
      <c r="B61" s="4" t="s">
        <v>123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/>
      <c r="N61" s="42"/>
      <c r="O61" s="42"/>
      <c r="P61" s="43">
        <f t="shared" si="4"/>
        <v>0</v>
      </c>
    </row>
    <row r="62" spans="1:16" ht="12.75" customHeight="1" x14ac:dyDescent="0.25">
      <c r="A62" s="18" t="s">
        <v>124</v>
      </c>
      <c r="B62" s="4" t="s">
        <v>125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/>
      <c r="N62" s="42"/>
      <c r="O62" s="42"/>
      <c r="P62" s="43">
        <f t="shared" si="4"/>
        <v>0</v>
      </c>
    </row>
    <row r="63" spans="1:16" ht="12.75" customHeight="1" x14ac:dyDescent="0.25">
      <c r="A63" s="18" t="s">
        <v>126</v>
      </c>
      <c r="B63" s="4" t="s">
        <v>127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/>
      <c r="N63" s="42"/>
      <c r="O63" s="42"/>
      <c r="P63" s="43">
        <f t="shared" si="4"/>
        <v>0</v>
      </c>
    </row>
    <row r="64" spans="1:16" ht="12.75" customHeight="1" x14ac:dyDescent="0.25">
      <c r="A64" s="18" t="s">
        <v>128</v>
      </c>
      <c r="B64" s="4" t="s">
        <v>129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/>
      <c r="N64" s="42"/>
      <c r="O64" s="42"/>
      <c r="P64" s="43">
        <f t="shared" si="4"/>
        <v>0</v>
      </c>
    </row>
    <row r="65" spans="1:16" ht="12.75" customHeight="1" x14ac:dyDescent="0.25">
      <c r="A65" s="18" t="s">
        <v>130</v>
      </c>
      <c r="B65" s="4" t="s">
        <v>131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/>
      <c r="N65" s="42"/>
      <c r="O65" s="42"/>
      <c r="P65" s="43">
        <f t="shared" si="4"/>
        <v>0</v>
      </c>
    </row>
    <row r="66" spans="1:16" ht="12.75" customHeight="1" x14ac:dyDescent="0.25">
      <c r="A66" s="18" t="s">
        <v>132</v>
      </c>
      <c r="B66" s="4" t="s">
        <v>133</v>
      </c>
      <c r="C66" s="42">
        <v>0</v>
      </c>
      <c r="D66" s="42">
        <v>0</v>
      </c>
      <c r="E66" s="42">
        <v>0</v>
      </c>
      <c r="F66" s="42">
        <v>139.19999999999999</v>
      </c>
      <c r="G66" s="42">
        <v>8</v>
      </c>
      <c r="H66" s="42">
        <v>468.89299999999997</v>
      </c>
      <c r="I66" s="42">
        <v>130.61099999999999</v>
      </c>
      <c r="J66" s="42">
        <v>7.2</v>
      </c>
      <c r="K66" s="42">
        <v>11.324999999999999</v>
      </c>
      <c r="L66" s="42">
        <v>60.502890000000001</v>
      </c>
      <c r="M66" s="42"/>
      <c r="N66" s="42"/>
      <c r="O66" s="42"/>
      <c r="P66" s="43">
        <f t="shared" si="4"/>
        <v>825.73189000000002</v>
      </c>
    </row>
    <row r="67" spans="1:16" ht="12.75" customHeight="1" x14ac:dyDescent="0.25">
      <c r="A67" s="18" t="s">
        <v>134</v>
      </c>
      <c r="B67" s="4" t="s">
        <v>135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/>
      <c r="N67" s="42"/>
      <c r="O67" s="42"/>
      <c r="P67" s="43">
        <f t="shared" si="4"/>
        <v>0</v>
      </c>
    </row>
    <row r="68" spans="1:16" ht="12.75" customHeight="1" x14ac:dyDescent="0.25">
      <c r="A68" s="18" t="s">
        <v>136</v>
      </c>
      <c r="B68" s="4" t="s">
        <v>137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/>
      <c r="N68" s="42"/>
      <c r="O68" s="42"/>
      <c r="P68" s="43">
        <f t="shared" si="4"/>
        <v>0</v>
      </c>
    </row>
    <row r="69" spans="1:16" ht="12.75" customHeight="1" x14ac:dyDescent="0.25">
      <c r="A69" s="18" t="s">
        <v>138</v>
      </c>
      <c r="B69" s="4" t="s">
        <v>139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/>
      <c r="N69" s="42"/>
      <c r="O69" s="42"/>
      <c r="P69" s="43">
        <f t="shared" si="4"/>
        <v>0</v>
      </c>
    </row>
    <row r="70" spans="1:16" ht="12.75" customHeight="1" x14ac:dyDescent="0.25">
      <c r="A70" s="18" t="s">
        <v>140</v>
      </c>
      <c r="B70" s="4" t="s">
        <v>141</v>
      </c>
      <c r="C70" s="42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/>
      <c r="N70" s="42"/>
      <c r="O70" s="42"/>
      <c r="P70" s="43">
        <f t="shared" si="4"/>
        <v>0</v>
      </c>
    </row>
    <row r="71" spans="1:16" ht="12.75" customHeight="1" x14ac:dyDescent="0.25">
      <c r="A71" s="18" t="s">
        <v>142</v>
      </c>
      <c r="B71" s="4" t="s">
        <v>143</v>
      </c>
      <c r="C71" s="42">
        <v>0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/>
      <c r="N71" s="42"/>
      <c r="O71" s="42"/>
      <c r="P71" s="43">
        <f t="shared" si="4"/>
        <v>0</v>
      </c>
    </row>
    <row r="72" spans="1:16" ht="12.75" customHeight="1" x14ac:dyDescent="0.25">
      <c r="A72" s="18">
        <v>2.2999999999999998</v>
      </c>
      <c r="B72" s="4" t="s">
        <v>144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3"/>
    </row>
    <row r="73" spans="1:16" ht="12.75" customHeight="1" x14ac:dyDescent="0.25">
      <c r="A73" s="18" t="s">
        <v>145</v>
      </c>
      <c r="B73" s="4" t="s">
        <v>146</v>
      </c>
      <c r="C73" s="42">
        <v>178.63399999999999</v>
      </c>
      <c r="D73" s="42">
        <v>399.27809999999999</v>
      </c>
      <c r="E73" s="42">
        <v>3.4</v>
      </c>
      <c r="F73" s="42">
        <v>0</v>
      </c>
      <c r="G73" s="42">
        <v>3.4</v>
      </c>
      <c r="H73" s="42">
        <v>70.859399999999994</v>
      </c>
      <c r="I73" s="42">
        <v>5</v>
      </c>
      <c r="J73" s="42">
        <v>300.97399999999999</v>
      </c>
      <c r="K73" s="42">
        <v>0</v>
      </c>
      <c r="L73" s="42">
        <v>0</v>
      </c>
      <c r="M73" s="42"/>
      <c r="N73" s="42"/>
      <c r="O73" s="42"/>
      <c r="P73" s="43">
        <f t="shared" ref="P73:P81" si="5">SUM(C73:O73)</f>
        <v>961.54549999999995</v>
      </c>
    </row>
    <row r="74" spans="1:16" ht="12.75" customHeight="1" x14ac:dyDescent="0.25">
      <c r="A74" s="18" t="s">
        <v>147</v>
      </c>
      <c r="B74" s="4" t="s">
        <v>148</v>
      </c>
      <c r="C74" s="42">
        <v>0</v>
      </c>
      <c r="D74" s="42">
        <v>0</v>
      </c>
      <c r="E74" s="42">
        <v>0</v>
      </c>
      <c r="F74" s="42">
        <v>100</v>
      </c>
      <c r="G74" s="42">
        <v>119.396</v>
      </c>
      <c r="H74" s="42">
        <v>23.864000000000001</v>
      </c>
      <c r="I74" s="42">
        <v>103.7535</v>
      </c>
      <c r="J74" s="42">
        <v>210.25</v>
      </c>
      <c r="K74" s="42">
        <v>14.69</v>
      </c>
      <c r="L74" s="42">
        <v>834.35431000000005</v>
      </c>
      <c r="M74" s="42"/>
      <c r="N74" s="42"/>
      <c r="O74" s="42"/>
      <c r="P74" s="43">
        <f t="shared" si="5"/>
        <v>1406.3078100000002</v>
      </c>
    </row>
    <row r="75" spans="1:16" ht="12.75" customHeight="1" x14ac:dyDescent="0.25">
      <c r="A75" s="18" t="s">
        <v>149</v>
      </c>
      <c r="B75" s="4" t="s">
        <v>150</v>
      </c>
      <c r="C75" s="42">
        <v>0</v>
      </c>
      <c r="D75" s="42">
        <v>0</v>
      </c>
      <c r="E75" s="42">
        <v>0</v>
      </c>
      <c r="F75" s="42">
        <v>0</v>
      </c>
      <c r="G75" s="42">
        <v>7.3902999999999999</v>
      </c>
      <c r="H75" s="42">
        <v>0</v>
      </c>
      <c r="I75" s="42">
        <v>0</v>
      </c>
      <c r="J75" s="42">
        <v>32.436599999999999</v>
      </c>
      <c r="K75" s="42">
        <v>0</v>
      </c>
      <c r="L75" s="42">
        <v>0</v>
      </c>
      <c r="M75" s="42"/>
      <c r="N75" s="42"/>
      <c r="O75" s="42"/>
      <c r="P75" s="43">
        <f t="shared" si="5"/>
        <v>39.826899999999995</v>
      </c>
    </row>
    <row r="76" spans="1:16" ht="12.75" customHeight="1" x14ac:dyDescent="0.25">
      <c r="A76" s="18" t="s">
        <v>151</v>
      </c>
      <c r="B76" s="4" t="s">
        <v>152</v>
      </c>
      <c r="C76" s="42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0</v>
      </c>
      <c r="M76" s="42"/>
      <c r="N76" s="42"/>
      <c r="O76" s="42"/>
      <c r="P76" s="43">
        <f t="shared" si="5"/>
        <v>0</v>
      </c>
    </row>
    <row r="77" spans="1:16" ht="12.75" customHeight="1" x14ac:dyDescent="0.25">
      <c r="A77" s="18" t="s">
        <v>153</v>
      </c>
      <c r="B77" s="4" t="s">
        <v>154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0</v>
      </c>
      <c r="M77" s="42"/>
      <c r="N77" s="42"/>
      <c r="O77" s="42"/>
      <c r="P77" s="43">
        <f t="shared" si="5"/>
        <v>0</v>
      </c>
    </row>
    <row r="78" spans="1:16" ht="12.75" customHeight="1" x14ac:dyDescent="0.25">
      <c r="A78" s="18" t="s">
        <v>155</v>
      </c>
      <c r="B78" s="4" t="s">
        <v>156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/>
      <c r="N78" s="42"/>
      <c r="O78" s="42"/>
      <c r="P78" s="43">
        <f t="shared" si="5"/>
        <v>0</v>
      </c>
    </row>
    <row r="79" spans="1:16" ht="12.75" customHeight="1" x14ac:dyDescent="0.25">
      <c r="A79" s="18" t="s">
        <v>157</v>
      </c>
      <c r="B79" s="4" t="s">
        <v>158</v>
      </c>
      <c r="C79" s="42">
        <v>0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2">
        <v>0</v>
      </c>
      <c r="K79" s="42">
        <v>0</v>
      </c>
      <c r="L79" s="42">
        <v>0</v>
      </c>
      <c r="M79" s="42"/>
      <c r="N79" s="42"/>
      <c r="O79" s="42"/>
      <c r="P79" s="43">
        <f t="shared" si="5"/>
        <v>0</v>
      </c>
    </row>
    <row r="80" spans="1:16" ht="12.75" customHeight="1" x14ac:dyDescent="0.25">
      <c r="A80" s="18" t="s">
        <v>159</v>
      </c>
      <c r="B80" s="4" t="s">
        <v>160</v>
      </c>
      <c r="C80" s="42">
        <v>0</v>
      </c>
      <c r="D80" s="42">
        <v>0</v>
      </c>
      <c r="E80" s="42">
        <v>0</v>
      </c>
      <c r="F80" s="42">
        <v>0</v>
      </c>
      <c r="G80" s="42">
        <v>0</v>
      </c>
      <c r="H80" s="42">
        <v>0</v>
      </c>
      <c r="I80" s="42">
        <v>0</v>
      </c>
      <c r="J80" s="42">
        <v>0</v>
      </c>
      <c r="K80" s="42">
        <v>0</v>
      </c>
      <c r="L80" s="42">
        <v>0</v>
      </c>
      <c r="M80" s="42"/>
      <c r="N80" s="42"/>
      <c r="O80" s="42"/>
      <c r="P80" s="43">
        <f t="shared" si="5"/>
        <v>0</v>
      </c>
    </row>
    <row r="81" spans="1:16" ht="12.75" customHeight="1" x14ac:dyDescent="0.25">
      <c r="A81" s="18" t="s">
        <v>161</v>
      </c>
      <c r="B81" s="4" t="s">
        <v>162</v>
      </c>
      <c r="C81" s="42">
        <v>0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42">
        <v>0</v>
      </c>
      <c r="L81" s="42">
        <v>0</v>
      </c>
      <c r="M81" s="42"/>
      <c r="N81" s="42"/>
      <c r="O81" s="42"/>
      <c r="P81" s="43">
        <f t="shared" si="5"/>
        <v>0</v>
      </c>
    </row>
    <row r="82" spans="1:16" ht="12.75" customHeight="1" x14ac:dyDescent="0.25">
      <c r="A82" s="18">
        <v>2.4</v>
      </c>
      <c r="B82" s="4" t="s">
        <v>163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3"/>
    </row>
    <row r="83" spans="1:16" ht="12.75" customHeight="1" x14ac:dyDescent="0.25">
      <c r="A83" s="18" t="s">
        <v>164</v>
      </c>
      <c r="B83" s="4" t="s">
        <v>165</v>
      </c>
      <c r="C83" s="42">
        <v>133</v>
      </c>
      <c r="D83" s="42">
        <v>287680.61599999998</v>
      </c>
      <c r="E83" s="42">
        <v>14420.96</v>
      </c>
      <c r="F83" s="42">
        <v>1420.88</v>
      </c>
      <c r="G83" s="42">
        <v>0</v>
      </c>
      <c r="H83" s="42">
        <v>1164.04</v>
      </c>
      <c r="I83" s="42">
        <v>0</v>
      </c>
      <c r="J83" s="42">
        <v>2980</v>
      </c>
      <c r="K83" s="42">
        <v>0</v>
      </c>
      <c r="L83" s="42">
        <v>0</v>
      </c>
      <c r="M83" s="42"/>
      <c r="N83" s="42"/>
      <c r="O83" s="42"/>
      <c r="P83" s="43">
        <f t="shared" ref="P83:P92" si="6">SUM(C83:O83)</f>
        <v>307799.49599999998</v>
      </c>
    </row>
    <row r="84" spans="1:16" ht="12.75" customHeight="1" x14ac:dyDescent="0.25">
      <c r="A84" s="18" t="s">
        <v>166</v>
      </c>
      <c r="B84" s="4" t="s">
        <v>167</v>
      </c>
      <c r="C84" s="42">
        <v>66.551360000000003</v>
      </c>
      <c r="D84" s="42">
        <v>1085.36294</v>
      </c>
      <c r="E84" s="42">
        <v>49.9</v>
      </c>
      <c r="F84" s="42">
        <v>0</v>
      </c>
      <c r="G84" s="42">
        <v>0</v>
      </c>
      <c r="H84" s="42">
        <v>0</v>
      </c>
      <c r="I84" s="42">
        <v>0</v>
      </c>
      <c r="J84" s="42">
        <v>0</v>
      </c>
      <c r="K84" s="42">
        <v>0</v>
      </c>
      <c r="L84" s="42">
        <v>0</v>
      </c>
      <c r="M84" s="42"/>
      <c r="N84" s="42"/>
      <c r="O84" s="42"/>
      <c r="P84" s="43">
        <f t="shared" si="6"/>
        <v>1201.8143</v>
      </c>
    </row>
    <row r="85" spans="1:16" ht="12.75" customHeight="1" x14ac:dyDescent="0.25">
      <c r="A85" s="18" t="s">
        <v>168</v>
      </c>
      <c r="B85" s="4" t="s">
        <v>169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0</v>
      </c>
      <c r="M85" s="42"/>
      <c r="N85" s="42"/>
      <c r="O85" s="42"/>
      <c r="P85" s="43">
        <f t="shared" si="6"/>
        <v>0</v>
      </c>
    </row>
    <row r="86" spans="1:16" ht="12.75" customHeight="1" x14ac:dyDescent="0.25">
      <c r="A86" s="18" t="s">
        <v>170</v>
      </c>
      <c r="B86" s="4" t="s">
        <v>171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0</v>
      </c>
      <c r="J86" s="42">
        <v>0</v>
      </c>
      <c r="K86" s="42">
        <v>0</v>
      </c>
      <c r="L86" s="42">
        <v>0</v>
      </c>
      <c r="M86" s="42"/>
      <c r="N86" s="42"/>
      <c r="O86" s="42"/>
      <c r="P86" s="43">
        <f t="shared" si="6"/>
        <v>0</v>
      </c>
    </row>
    <row r="87" spans="1:16" ht="12.75" customHeight="1" x14ac:dyDescent="0.25">
      <c r="A87" s="18" t="s">
        <v>172</v>
      </c>
      <c r="B87" s="4" t="s">
        <v>173</v>
      </c>
      <c r="C87" s="42">
        <v>0</v>
      </c>
      <c r="D87" s="42">
        <v>0</v>
      </c>
      <c r="E87" s="42">
        <v>0</v>
      </c>
      <c r="F87" s="42">
        <v>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0</v>
      </c>
      <c r="M87" s="42"/>
      <c r="N87" s="42"/>
      <c r="O87" s="42"/>
      <c r="P87" s="43">
        <f t="shared" si="6"/>
        <v>0</v>
      </c>
    </row>
    <row r="88" spans="1:16" ht="12.75" customHeight="1" x14ac:dyDescent="0.25">
      <c r="A88" s="18" t="s">
        <v>174</v>
      </c>
      <c r="B88" s="4" t="s">
        <v>175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/>
      <c r="N88" s="42"/>
      <c r="O88" s="42"/>
      <c r="P88" s="43">
        <f t="shared" si="6"/>
        <v>0</v>
      </c>
    </row>
    <row r="89" spans="1:16" ht="12.75" customHeight="1" x14ac:dyDescent="0.25">
      <c r="A89" s="18" t="s">
        <v>176</v>
      </c>
      <c r="B89" s="4" t="s">
        <v>177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/>
      <c r="N89" s="42"/>
      <c r="O89" s="42"/>
      <c r="P89" s="43">
        <f t="shared" si="6"/>
        <v>0</v>
      </c>
    </row>
    <row r="90" spans="1:16" ht="12.75" customHeight="1" x14ac:dyDescent="0.25">
      <c r="A90" s="18" t="s">
        <v>178</v>
      </c>
      <c r="B90" s="4" t="s">
        <v>179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/>
      <c r="N90" s="42"/>
      <c r="O90" s="42"/>
      <c r="P90" s="43">
        <f t="shared" si="6"/>
        <v>0</v>
      </c>
    </row>
    <row r="91" spans="1:16" ht="12.75" customHeight="1" x14ac:dyDescent="0.25">
      <c r="A91" s="18" t="s">
        <v>180</v>
      </c>
      <c r="B91" s="4" t="s">
        <v>181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/>
      <c r="N91" s="42"/>
      <c r="O91" s="42"/>
      <c r="P91" s="43">
        <f t="shared" si="6"/>
        <v>0</v>
      </c>
    </row>
    <row r="92" spans="1:16" ht="12.75" customHeight="1" x14ac:dyDescent="0.25">
      <c r="A92" s="18">
        <v>2.5</v>
      </c>
      <c r="B92" s="4" t="s">
        <v>182</v>
      </c>
      <c r="C92" s="42">
        <v>0</v>
      </c>
      <c r="D92" s="42">
        <v>0</v>
      </c>
      <c r="E92" s="42">
        <v>0</v>
      </c>
      <c r="F92" s="42">
        <v>0</v>
      </c>
      <c r="G92" s="42">
        <v>0</v>
      </c>
      <c r="H92" s="42">
        <v>0</v>
      </c>
      <c r="I92" s="42">
        <v>0</v>
      </c>
      <c r="J92" s="42">
        <v>0</v>
      </c>
      <c r="K92" s="42">
        <v>0</v>
      </c>
      <c r="L92" s="42">
        <v>0</v>
      </c>
      <c r="M92" s="42"/>
      <c r="N92" s="42"/>
      <c r="O92" s="42"/>
      <c r="P92" s="43">
        <f t="shared" si="6"/>
        <v>0</v>
      </c>
    </row>
    <row r="93" spans="1:16" ht="12.75" customHeight="1" x14ac:dyDescent="0.25">
      <c r="A93" s="18">
        <v>2.6</v>
      </c>
      <c r="B93" s="4" t="s">
        <v>183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3"/>
    </row>
    <row r="94" spans="1:16" ht="12.75" customHeight="1" x14ac:dyDescent="0.25">
      <c r="A94" s="18" t="s">
        <v>184</v>
      </c>
      <c r="B94" s="4" t="s">
        <v>185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/>
      <c r="N94" s="42"/>
      <c r="O94" s="42"/>
      <c r="P94" s="43">
        <f t="shared" ref="P94:P99" si="7">SUM(C94:O94)</f>
        <v>0</v>
      </c>
    </row>
    <row r="95" spans="1:16" ht="12.75" customHeight="1" x14ac:dyDescent="0.25">
      <c r="A95" s="18" t="s">
        <v>186</v>
      </c>
      <c r="B95" s="4" t="s">
        <v>187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/>
      <c r="N95" s="42"/>
      <c r="O95" s="42"/>
      <c r="P95" s="43">
        <f t="shared" si="7"/>
        <v>0</v>
      </c>
    </row>
    <row r="96" spans="1:16" ht="12.75" customHeight="1" x14ac:dyDescent="0.25">
      <c r="A96" s="18">
        <v>2.7</v>
      </c>
      <c r="B96" s="4" t="s">
        <v>188</v>
      </c>
      <c r="C96" s="42">
        <v>0</v>
      </c>
      <c r="D96" s="42">
        <v>0</v>
      </c>
      <c r="E96" s="42">
        <v>0</v>
      </c>
      <c r="F96" s="42">
        <v>0</v>
      </c>
      <c r="G96" s="42">
        <v>0</v>
      </c>
      <c r="H96" s="42">
        <v>0</v>
      </c>
      <c r="I96" s="42">
        <v>0</v>
      </c>
      <c r="J96" s="42">
        <v>0</v>
      </c>
      <c r="K96" s="42">
        <v>0</v>
      </c>
      <c r="L96" s="42">
        <v>0</v>
      </c>
      <c r="M96" s="42"/>
      <c r="N96" s="42"/>
      <c r="O96" s="42"/>
      <c r="P96" s="43">
        <f t="shared" si="7"/>
        <v>0</v>
      </c>
    </row>
    <row r="97" spans="1:16" ht="12.75" customHeight="1" x14ac:dyDescent="0.25">
      <c r="A97" s="18">
        <v>2.8</v>
      </c>
      <c r="B97" s="4" t="s">
        <v>189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/>
      <c r="N97" s="42"/>
      <c r="O97" s="42"/>
      <c r="P97" s="43">
        <f t="shared" si="7"/>
        <v>0</v>
      </c>
    </row>
    <row r="98" spans="1:16" ht="12.75" customHeight="1" x14ac:dyDescent="0.25">
      <c r="A98" s="18">
        <v>2.9</v>
      </c>
      <c r="B98" s="4" t="s">
        <v>190</v>
      </c>
      <c r="C98" s="42">
        <v>3952.19868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/>
      <c r="N98" s="42"/>
      <c r="O98" s="42"/>
      <c r="P98" s="43">
        <f t="shared" si="7"/>
        <v>3952.19868</v>
      </c>
    </row>
    <row r="99" spans="1:16" ht="12.75" customHeight="1" x14ac:dyDescent="0.25">
      <c r="A99" s="18" t="s">
        <v>191</v>
      </c>
      <c r="B99" s="4" t="s">
        <v>192</v>
      </c>
      <c r="C99" s="42">
        <v>0</v>
      </c>
      <c r="D99" s="42">
        <v>0</v>
      </c>
      <c r="E99" s="42">
        <v>0</v>
      </c>
      <c r="F99" s="42">
        <v>0</v>
      </c>
      <c r="G99" s="42">
        <v>0</v>
      </c>
      <c r="H99" s="42">
        <v>0</v>
      </c>
      <c r="I99" s="42">
        <v>0</v>
      </c>
      <c r="J99" s="42">
        <v>0</v>
      </c>
      <c r="K99" s="42">
        <v>0</v>
      </c>
      <c r="L99" s="42">
        <v>0</v>
      </c>
      <c r="M99" s="42"/>
      <c r="N99" s="42"/>
      <c r="O99" s="42"/>
      <c r="P99" s="43">
        <f t="shared" si="7"/>
        <v>0</v>
      </c>
    </row>
    <row r="100" spans="1:16" ht="12.75" customHeight="1" x14ac:dyDescent="0.25">
      <c r="A100" s="18">
        <v>2.11</v>
      </c>
      <c r="B100" s="4" t="s">
        <v>193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3"/>
    </row>
    <row r="101" spans="1:16" ht="12.75" customHeight="1" x14ac:dyDescent="0.25">
      <c r="A101" s="18" t="s">
        <v>194</v>
      </c>
      <c r="B101" s="4" t="s">
        <v>195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/>
      <c r="N101" s="42"/>
      <c r="O101" s="42"/>
      <c r="P101" s="43">
        <f t="shared" ref="P101:P106" si="8">SUM(C101:O101)</f>
        <v>0</v>
      </c>
    </row>
    <row r="102" spans="1:16" ht="12.75" customHeight="1" x14ac:dyDescent="0.25">
      <c r="A102" s="18" t="s">
        <v>196</v>
      </c>
      <c r="B102" s="4" t="s">
        <v>197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/>
      <c r="N102" s="42"/>
      <c r="O102" s="42"/>
      <c r="P102" s="43">
        <f t="shared" si="8"/>
        <v>0</v>
      </c>
    </row>
    <row r="103" spans="1:16" ht="12.75" customHeight="1" x14ac:dyDescent="0.25">
      <c r="A103" s="18" t="s">
        <v>198</v>
      </c>
      <c r="B103" s="4" t="s">
        <v>199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/>
      <c r="N103" s="42"/>
      <c r="O103" s="42"/>
      <c r="P103" s="43">
        <f t="shared" si="8"/>
        <v>0</v>
      </c>
    </row>
    <row r="104" spans="1:16" ht="12.75" customHeight="1" x14ac:dyDescent="0.25">
      <c r="A104" s="18">
        <v>2.12</v>
      </c>
      <c r="B104" s="4" t="s">
        <v>200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/>
      <c r="N104" s="42"/>
      <c r="O104" s="42"/>
      <c r="P104" s="43">
        <f t="shared" si="8"/>
        <v>0</v>
      </c>
    </row>
    <row r="105" spans="1:16" ht="12.75" customHeight="1" x14ac:dyDescent="0.25">
      <c r="A105" s="18">
        <v>2.13</v>
      </c>
      <c r="B105" s="4" t="s">
        <v>201</v>
      </c>
      <c r="C105" s="42">
        <v>0</v>
      </c>
      <c r="D105" s="42">
        <v>0</v>
      </c>
      <c r="E105" s="42">
        <v>0</v>
      </c>
      <c r="F105" s="42">
        <v>0</v>
      </c>
      <c r="G105" s="42">
        <v>0</v>
      </c>
      <c r="H105" s="42">
        <v>0</v>
      </c>
      <c r="I105" s="42">
        <v>0</v>
      </c>
      <c r="J105" s="42">
        <v>0</v>
      </c>
      <c r="K105" s="42">
        <v>0</v>
      </c>
      <c r="L105" s="42">
        <v>0</v>
      </c>
      <c r="M105" s="42"/>
      <c r="N105" s="42"/>
      <c r="O105" s="42"/>
      <c r="P105" s="43">
        <f t="shared" si="8"/>
        <v>0</v>
      </c>
    </row>
    <row r="106" spans="1:16" ht="12.75" customHeight="1" x14ac:dyDescent="0.25">
      <c r="A106" s="19">
        <v>2.14</v>
      </c>
      <c r="B106" s="5" t="s">
        <v>202</v>
      </c>
      <c r="C106" s="44">
        <v>0</v>
      </c>
      <c r="D106" s="44">
        <v>0</v>
      </c>
      <c r="E106" s="44">
        <v>0</v>
      </c>
      <c r="F106" s="44">
        <v>0</v>
      </c>
      <c r="G106" s="44">
        <v>0</v>
      </c>
      <c r="H106" s="44">
        <v>0</v>
      </c>
      <c r="I106" s="44">
        <v>0</v>
      </c>
      <c r="J106" s="44">
        <v>0</v>
      </c>
      <c r="K106" s="44">
        <v>0</v>
      </c>
      <c r="L106" s="44">
        <v>0</v>
      </c>
      <c r="M106" s="44"/>
      <c r="N106" s="44"/>
      <c r="O106" s="44"/>
      <c r="P106" s="45">
        <f t="shared" si="8"/>
        <v>0</v>
      </c>
    </row>
    <row r="107" spans="1:16" ht="12.75" customHeight="1" x14ac:dyDescent="0.25">
      <c r="A107" s="20"/>
      <c r="B107" s="15" t="s">
        <v>203</v>
      </c>
      <c r="C107" s="46">
        <f t="shared" ref="C107:P107" si="9">SUM(C38:C106)</f>
        <v>6095.0830399999995</v>
      </c>
      <c r="D107" s="46">
        <f t="shared" si="9"/>
        <v>292385.12891999999</v>
      </c>
      <c r="E107" s="46">
        <f t="shared" si="9"/>
        <v>18042.955109999999</v>
      </c>
      <c r="F107" s="46">
        <f t="shared" si="9"/>
        <v>10138.451349999999</v>
      </c>
      <c r="G107" s="46">
        <f t="shared" si="9"/>
        <v>12230.488029999999</v>
      </c>
      <c r="H107" s="46">
        <f t="shared" si="9"/>
        <v>3668.1205599999998</v>
      </c>
      <c r="I107" s="46">
        <f t="shared" si="9"/>
        <v>9472.7903300000016</v>
      </c>
      <c r="J107" s="46">
        <f t="shared" si="9"/>
        <v>6770.7246400000004</v>
      </c>
      <c r="K107" s="46">
        <f t="shared" si="9"/>
        <v>3008.4601299999999</v>
      </c>
      <c r="L107" s="46">
        <f t="shared" si="9"/>
        <v>4116.6468299999997</v>
      </c>
      <c r="M107" s="46">
        <f t="shared" si="9"/>
        <v>0</v>
      </c>
      <c r="N107" s="46">
        <f t="shared" si="9"/>
        <v>0</v>
      </c>
      <c r="O107" s="46">
        <f t="shared" si="9"/>
        <v>0</v>
      </c>
      <c r="P107" s="47">
        <f t="shared" si="9"/>
        <v>365928.84894</v>
      </c>
    </row>
    <row r="108" spans="1:16" ht="12.75" customHeight="1" x14ac:dyDescent="0.25">
      <c r="A108" s="18"/>
      <c r="B108" s="4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3"/>
    </row>
    <row r="109" spans="1:16" ht="12.75" customHeight="1" x14ac:dyDescent="0.25">
      <c r="A109" s="21">
        <v>3</v>
      </c>
      <c r="B109" s="6" t="s">
        <v>204</v>
      </c>
      <c r="C109" s="48">
        <f t="shared" ref="C109:L109" si="10">C36-C107</f>
        <v>623920.91695999994</v>
      </c>
      <c r="D109" s="48">
        <f t="shared" si="10"/>
        <v>-292363.12891999999</v>
      </c>
      <c r="E109" s="48">
        <f t="shared" si="10"/>
        <v>-18054.955109999999</v>
      </c>
      <c r="F109" s="48">
        <f t="shared" si="10"/>
        <v>-10264.451349999999</v>
      </c>
      <c r="G109" s="48">
        <f t="shared" si="10"/>
        <v>-12375.488029999999</v>
      </c>
      <c r="H109" s="48">
        <f t="shared" si="10"/>
        <v>-3935.1205599999998</v>
      </c>
      <c r="I109" s="48">
        <f t="shared" si="10"/>
        <v>-9673.7903300000016</v>
      </c>
      <c r="J109" s="48">
        <f t="shared" si="10"/>
        <v>-6764.7246400000004</v>
      </c>
      <c r="K109" s="48">
        <f t="shared" si="10"/>
        <v>-3025.4601299999999</v>
      </c>
      <c r="L109" s="48">
        <f t="shared" si="10"/>
        <v>-4178.6468299999997</v>
      </c>
      <c r="M109" s="48"/>
      <c r="N109" s="48"/>
      <c r="O109" s="48"/>
      <c r="P109" s="49">
        <f>P36-P107</f>
        <v>263285.15106</v>
      </c>
    </row>
    <row r="110" spans="1:16" ht="12.75" customHeight="1" x14ac:dyDescent="0.25">
      <c r="A110" s="18"/>
      <c r="B110" s="4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3"/>
    </row>
    <row r="111" spans="1:16" ht="12.75" customHeight="1" x14ac:dyDescent="0.25">
      <c r="A111" s="18">
        <v>4</v>
      </c>
      <c r="B111" s="4" t="s">
        <v>205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3"/>
    </row>
    <row r="112" spans="1:16" ht="12.75" customHeight="1" x14ac:dyDescent="0.25">
      <c r="A112" s="18"/>
      <c r="B112" s="4" t="s">
        <v>206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3"/>
    </row>
    <row r="113" spans="1:16" ht="12.75" customHeight="1" x14ac:dyDescent="0.25">
      <c r="A113" s="18">
        <v>2.1</v>
      </c>
      <c r="B113" s="4" t="s">
        <v>80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3"/>
    </row>
    <row r="114" spans="1:16" ht="12.75" customHeight="1" x14ac:dyDescent="0.25">
      <c r="A114" s="18" t="s">
        <v>93</v>
      </c>
      <c r="B114" s="4" t="s">
        <v>207</v>
      </c>
      <c r="C114" s="42">
        <f t="shared" ref="C114:L114" si="11">C46*-1</f>
        <v>0</v>
      </c>
      <c r="D114" s="42">
        <f t="shared" si="11"/>
        <v>0</v>
      </c>
      <c r="E114" s="42">
        <f t="shared" si="11"/>
        <v>0</v>
      </c>
      <c r="F114" s="42">
        <f t="shared" si="11"/>
        <v>0</v>
      </c>
      <c r="G114" s="42">
        <f t="shared" si="11"/>
        <v>0</v>
      </c>
      <c r="H114" s="42">
        <f t="shared" si="11"/>
        <v>0</v>
      </c>
      <c r="I114" s="42">
        <f t="shared" si="11"/>
        <v>0</v>
      </c>
      <c r="J114" s="42">
        <f t="shared" si="11"/>
        <v>0</v>
      </c>
      <c r="K114" s="42">
        <f t="shared" si="11"/>
        <v>0</v>
      </c>
      <c r="L114" s="42">
        <f t="shared" si="11"/>
        <v>0</v>
      </c>
      <c r="M114" s="42"/>
      <c r="N114" s="42"/>
      <c r="O114" s="42"/>
      <c r="P114" s="43">
        <f>P46*-1</f>
        <v>0</v>
      </c>
    </row>
    <row r="115" spans="1:16" ht="12.75" customHeight="1" x14ac:dyDescent="0.25">
      <c r="A115" s="18">
        <v>2.2999999999999998</v>
      </c>
      <c r="B115" s="4" t="s">
        <v>144</v>
      </c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3"/>
    </row>
    <row r="116" spans="1:16" ht="12.75" customHeight="1" x14ac:dyDescent="0.25">
      <c r="A116" s="18" t="s">
        <v>157</v>
      </c>
      <c r="B116" s="4" t="s">
        <v>208</v>
      </c>
      <c r="C116" s="42">
        <f t="shared" ref="C116:L116" si="12">C79*-1</f>
        <v>0</v>
      </c>
      <c r="D116" s="42">
        <f t="shared" si="12"/>
        <v>0</v>
      </c>
      <c r="E116" s="42">
        <f t="shared" si="12"/>
        <v>0</v>
      </c>
      <c r="F116" s="42">
        <f t="shared" si="12"/>
        <v>0</v>
      </c>
      <c r="G116" s="42">
        <f t="shared" si="12"/>
        <v>0</v>
      </c>
      <c r="H116" s="42">
        <f t="shared" si="12"/>
        <v>0</v>
      </c>
      <c r="I116" s="42">
        <f t="shared" si="12"/>
        <v>0</v>
      </c>
      <c r="J116" s="42">
        <f t="shared" si="12"/>
        <v>0</v>
      </c>
      <c r="K116" s="42">
        <f t="shared" si="12"/>
        <v>0</v>
      </c>
      <c r="L116" s="42">
        <f t="shared" si="12"/>
        <v>0</v>
      </c>
      <c r="M116" s="42"/>
      <c r="N116" s="42"/>
      <c r="O116" s="42"/>
      <c r="P116" s="43">
        <f>P79*-1</f>
        <v>0</v>
      </c>
    </row>
    <row r="117" spans="1:16" ht="12.75" customHeight="1" x14ac:dyDescent="0.25">
      <c r="A117" s="18"/>
      <c r="B117" s="4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3"/>
    </row>
    <row r="118" spans="1:16" ht="12.75" customHeight="1" x14ac:dyDescent="0.25">
      <c r="A118" s="19">
        <v>4.0999999999999996</v>
      </c>
      <c r="B118" s="5" t="s">
        <v>209</v>
      </c>
      <c r="C118" s="44">
        <v>-80.069762159999996</v>
      </c>
      <c r="D118" s="44">
        <v>-42.074622840000004</v>
      </c>
      <c r="E118" s="44">
        <v>-41.711723939999999</v>
      </c>
      <c r="F118" s="44">
        <v>-69.993205000000003</v>
      </c>
      <c r="G118" s="44">
        <v>-100.17142927</v>
      </c>
      <c r="H118" s="44">
        <v>-120.38574622</v>
      </c>
      <c r="I118" s="44">
        <v>-140.65447545999999</v>
      </c>
      <c r="J118" s="44">
        <v>-153.61392907999999</v>
      </c>
      <c r="K118" s="44">
        <v>-183.96495499</v>
      </c>
      <c r="L118" s="44">
        <v>-213.52636261000001</v>
      </c>
      <c r="M118" s="44"/>
      <c r="N118" s="44"/>
      <c r="O118" s="44"/>
      <c r="P118" s="45">
        <f>SUM(C118:O118)</f>
        <v>-1146.1662115699999</v>
      </c>
    </row>
    <row r="119" spans="1:16" ht="12.75" customHeight="1" x14ac:dyDescent="0.25">
      <c r="A119" s="20">
        <v>4.3</v>
      </c>
      <c r="B119" s="15" t="s">
        <v>210</v>
      </c>
      <c r="C119" s="46">
        <f t="shared" ref="C119:P119" si="13">SUM(C111:C118)</f>
        <v>-80.069762159999996</v>
      </c>
      <c r="D119" s="46">
        <f t="shared" si="13"/>
        <v>-42.074622840000004</v>
      </c>
      <c r="E119" s="46">
        <f t="shared" si="13"/>
        <v>-41.711723939999999</v>
      </c>
      <c r="F119" s="46">
        <f t="shared" si="13"/>
        <v>-69.993205000000003</v>
      </c>
      <c r="G119" s="46">
        <f t="shared" si="13"/>
        <v>-100.17142927</v>
      </c>
      <c r="H119" s="46">
        <f t="shared" si="13"/>
        <v>-120.38574622</v>
      </c>
      <c r="I119" s="46">
        <f t="shared" si="13"/>
        <v>-140.65447545999999</v>
      </c>
      <c r="J119" s="46">
        <f t="shared" si="13"/>
        <v>-153.61392907999999</v>
      </c>
      <c r="K119" s="46">
        <f t="shared" si="13"/>
        <v>-183.96495499</v>
      </c>
      <c r="L119" s="46">
        <f t="shared" si="13"/>
        <v>-213.52636261000001</v>
      </c>
      <c r="M119" s="46">
        <f t="shared" si="13"/>
        <v>0</v>
      </c>
      <c r="N119" s="46">
        <f t="shared" si="13"/>
        <v>0</v>
      </c>
      <c r="O119" s="46">
        <f t="shared" si="13"/>
        <v>0</v>
      </c>
      <c r="P119" s="47">
        <f t="shared" si="13"/>
        <v>-1146.1662115699999</v>
      </c>
    </row>
    <row r="120" spans="1:16" ht="12.75" customHeight="1" x14ac:dyDescent="0.25">
      <c r="A120" s="18"/>
      <c r="B120" s="4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3"/>
    </row>
    <row r="121" spans="1:16" ht="12.75" customHeight="1" x14ac:dyDescent="0.25">
      <c r="A121" s="21">
        <v>5</v>
      </c>
      <c r="B121" s="6" t="s">
        <v>211</v>
      </c>
      <c r="C121" s="48">
        <f t="shared" ref="C121:L121" si="14">C109-C119</f>
        <v>624000.9867221599</v>
      </c>
      <c r="D121" s="48">
        <f t="shared" si="14"/>
        <v>-292321.05429716001</v>
      </c>
      <c r="E121" s="48">
        <f t="shared" si="14"/>
        <v>-18013.243386059999</v>
      </c>
      <c r="F121" s="48">
        <f t="shared" si="14"/>
        <v>-10194.458144999999</v>
      </c>
      <c r="G121" s="48">
        <f t="shared" si="14"/>
        <v>-12275.316600729999</v>
      </c>
      <c r="H121" s="48">
        <f t="shared" si="14"/>
        <v>-3814.73481378</v>
      </c>
      <c r="I121" s="48">
        <f t="shared" si="14"/>
        <v>-9533.1358545400017</v>
      </c>
      <c r="J121" s="48">
        <f t="shared" si="14"/>
        <v>-6611.1107109200002</v>
      </c>
      <c r="K121" s="48">
        <f t="shared" si="14"/>
        <v>-2841.4951750099999</v>
      </c>
      <c r="L121" s="48">
        <f t="shared" si="14"/>
        <v>-3965.1204673899997</v>
      </c>
      <c r="M121" s="48"/>
      <c r="N121" s="48"/>
      <c r="O121" s="48"/>
      <c r="P121" s="49">
        <f>P109-P119</f>
        <v>264431.31727156998</v>
      </c>
    </row>
    <row r="122" spans="1:16" ht="12.75" customHeight="1" x14ac:dyDescent="0.25">
      <c r="A122" s="18"/>
      <c r="B122" s="4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3"/>
    </row>
    <row r="123" spans="1:16" ht="12.75" customHeight="1" x14ac:dyDescent="0.25">
      <c r="A123" s="18">
        <v>6</v>
      </c>
      <c r="B123" s="4" t="s">
        <v>212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3"/>
    </row>
    <row r="124" spans="1:16" ht="12.75" hidden="1" customHeight="1" x14ac:dyDescent="0.25">
      <c r="A124" s="18">
        <v>6.1</v>
      </c>
      <c r="B124" s="4" t="s">
        <v>213</v>
      </c>
      <c r="C124" s="42">
        <v>0</v>
      </c>
      <c r="D124" s="42">
        <v>0</v>
      </c>
      <c r="E124" s="42">
        <v>0</v>
      </c>
      <c r="F124" s="42">
        <v>0</v>
      </c>
      <c r="G124" s="42">
        <v>0.06</v>
      </c>
      <c r="H124" s="42">
        <v>0.06</v>
      </c>
      <c r="I124" s="42">
        <v>0.06</v>
      </c>
      <c r="J124" s="42">
        <v>0.06</v>
      </c>
      <c r="K124" s="42">
        <v>0.06</v>
      </c>
      <c r="L124" s="42">
        <v>0.06</v>
      </c>
      <c r="M124" s="42"/>
      <c r="N124" s="42"/>
      <c r="O124" s="42"/>
      <c r="P124" s="43"/>
    </row>
    <row r="125" spans="1:16" ht="12.75" customHeight="1" x14ac:dyDescent="0.25">
      <c r="A125" s="18" t="s">
        <v>214</v>
      </c>
      <c r="B125" s="4" t="s">
        <v>215</v>
      </c>
      <c r="C125" s="42">
        <f t="shared" ref="C125:L125" si="15">(C36-C18-C20-C33)*C124</f>
        <v>0</v>
      </c>
      <c r="D125" s="42">
        <f t="shared" si="15"/>
        <v>0</v>
      </c>
      <c r="E125" s="42">
        <f t="shared" si="15"/>
        <v>0</v>
      </c>
      <c r="F125" s="42">
        <f t="shared" si="15"/>
        <v>0</v>
      </c>
      <c r="G125" s="42">
        <f t="shared" si="15"/>
        <v>-14.7</v>
      </c>
      <c r="H125" s="42">
        <f t="shared" si="15"/>
        <v>-17.579999999999998</v>
      </c>
      <c r="I125" s="42">
        <f t="shared" si="15"/>
        <v>-13.559999999999999</v>
      </c>
      <c r="J125" s="42">
        <f t="shared" si="15"/>
        <v>-1.1399999999999999</v>
      </c>
      <c r="K125" s="42">
        <f t="shared" si="15"/>
        <v>-2.58</v>
      </c>
      <c r="L125" s="42">
        <f t="shared" si="15"/>
        <v>-5.22</v>
      </c>
      <c r="M125" s="42"/>
      <c r="N125" s="42"/>
      <c r="O125" s="42"/>
      <c r="P125" s="43">
        <f>SUM(C125:O125)</f>
        <v>-54.78</v>
      </c>
    </row>
    <row r="126" spans="1:16" ht="12.75" customHeight="1" x14ac:dyDescent="0.25">
      <c r="A126" s="18" t="s">
        <v>216</v>
      </c>
      <c r="B126" s="4" t="s">
        <v>217</v>
      </c>
      <c r="C126" s="42">
        <f t="shared" ref="C126:L126" si="16">(C36-C18-C20-C33)*0</f>
        <v>0</v>
      </c>
      <c r="D126" s="42">
        <f t="shared" si="16"/>
        <v>0</v>
      </c>
      <c r="E126" s="42">
        <f t="shared" si="16"/>
        <v>0</v>
      </c>
      <c r="F126" s="42">
        <f t="shared" si="16"/>
        <v>0</v>
      </c>
      <c r="G126" s="42">
        <f t="shared" si="16"/>
        <v>0</v>
      </c>
      <c r="H126" s="42">
        <f t="shared" si="16"/>
        <v>0</v>
      </c>
      <c r="I126" s="42">
        <f t="shared" si="16"/>
        <v>0</v>
      </c>
      <c r="J126" s="42">
        <f t="shared" si="16"/>
        <v>0</v>
      </c>
      <c r="K126" s="42">
        <f t="shared" si="16"/>
        <v>0</v>
      </c>
      <c r="L126" s="42">
        <f t="shared" si="16"/>
        <v>0</v>
      </c>
      <c r="M126" s="42"/>
      <c r="N126" s="42"/>
      <c r="O126" s="42"/>
      <c r="P126" s="43">
        <f>(P36-P18-P20-P33)*0</f>
        <v>0</v>
      </c>
    </row>
    <row r="127" spans="1:16" ht="12.75" customHeight="1" x14ac:dyDescent="0.25">
      <c r="A127" s="18">
        <v>6.2</v>
      </c>
      <c r="B127" s="4" t="s">
        <v>218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3"/>
    </row>
    <row r="128" spans="1:16" ht="12.75" customHeight="1" x14ac:dyDescent="0.25">
      <c r="A128" s="18"/>
      <c r="B128" s="4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3"/>
    </row>
    <row r="129" spans="1:16" ht="12.75" customHeight="1" x14ac:dyDescent="0.25">
      <c r="A129" s="22">
        <v>7</v>
      </c>
      <c r="B129" s="13" t="s">
        <v>219</v>
      </c>
      <c r="C129" s="50">
        <f t="shared" ref="C129:L129" si="17">C121-SUM(C125:C126)+IF(ISBLANK(C127), 0, C127)</f>
        <v>624000.9867221599</v>
      </c>
      <c r="D129" s="50">
        <f t="shared" si="17"/>
        <v>-292321.05429716001</v>
      </c>
      <c r="E129" s="50">
        <f t="shared" si="17"/>
        <v>-18013.243386059999</v>
      </c>
      <c r="F129" s="50">
        <f t="shared" si="17"/>
        <v>-10194.458144999999</v>
      </c>
      <c r="G129" s="50">
        <f t="shared" si="17"/>
        <v>-12260.616600729998</v>
      </c>
      <c r="H129" s="50">
        <f t="shared" si="17"/>
        <v>-3797.15481378</v>
      </c>
      <c r="I129" s="50">
        <f t="shared" si="17"/>
        <v>-9519.5758545400022</v>
      </c>
      <c r="J129" s="50">
        <f t="shared" si="17"/>
        <v>-6609.9707109199999</v>
      </c>
      <c r="K129" s="50">
        <f t="shared" si="17"/>
        <v>-2838.91517501</v>
      </c>
      <c r="L129" s="50">
        <f t="shared" si="17"/>
        <v>-3959.9004673899999</v>
      </c>
      <c r="M129" s="50"/>
      <c r="N129" s="50"/>
      <c r="O129" s="50"/>
      <c r="P129" s="51">
        <f>P121-SUM(P125:P126)+IF(ISBLANK(P127), 0, P127)</f>
        <v>264486.09727157</v>
      </c>
    </row>
    <row r="130" spans="1:16" ht="12.75" customHeight="1" x14ac:dyDescent="0.25">
      <c r="A130" s="23"/>
      <c r="B130" s="12" t="s">
        <v>220</v>
      </c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3"/>
    </row>
  </sheetData>
  <sheetProtection formatCells="0" formatColumns="0" formatRows="0" insertColumns="0" insertRows="0" insertHyperlinks="0" deleteColumns="0" deleteRows="0" sort="0" autoFilter="0" pivotTables="0"/>
  <mergeCells count="3">
    <mergeCell ref="G6:I7"/>
    <mergeCell ref="G11:I11"/>
    <mergeCell ref="O7:P8"/>
  </mergeCells>
  <phoneticPr fontId="6" type="noConversion"/>
  <printOptions horizontalCentered="1"/>
  <pageMargins left="3.9370078740157001E-2" right="3.9370078740157001E-2" top="0.23622047244093999" bottom="7.8740157480315001E-2" header="7.8740157480315001E-2" footer="7.8740157480315001E-2"/>
  <pageSetup paperSize="9" scale="55" fitToHeight="0" orientation="landscape" r:id="rId1"/>
  <headerFooter>
    <oddHeader>&amp;R&amp;"Times New Roman,Bold"&amp;10Page No.: &amp;P of &amp;N &amp;K00+000*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130"/>
  <sheetViews>
    <sheetView workbookViewId="0">
      <selection activeCell="L84" sqref="L84"/>
    </sheetView>
  </sheetViews>
  <sheetFormatPr defaultColWidth="14.28515625" defaultRowHeight="12.75" customHeight="1" x14ac:dyDescent="0.25"/>
  <cols>
    <col min="1" max="1" width="19.42578125" style="1" customWidth="1"/>
    <col min="2" max="2" width="42.85546875" style="1" customWidth="1"/>
    <col min="3" max="3" width="14.28515625" style="1"/>
  </cols>
  <sheetData>
    <row r="1" spans="1:16" ht="12.75" customHeight="1" x14ac:dyDescent="0.25">
      <c r="A1" s="2" t="s">
        <v>0</v>
      </c>
      <c r="B1" s="14"/>
      <c r="C1" s="2"/>
      <c r="P1" s="1"/>
    </row>
    <row r="2" spans="1:16" ht="12.75" customHeight="1" x14ac:dyDescent="0.25">
      <c r="A2" s="2"/>
      <c r="B2" s="14"/>
      <c r="C2" s="2"/>
      <c r="P2" s="58" t="s">
        <v>1</v>
      </c>
    </row>
    <row r="3" spans="1:16" ht="12.75" customHeight="1" x14ac:dyDescent="0.25">
      <c r="A3" s="2" t="s">
        <v>2</v>
      </c>
      <c r="B3" s="14">
        <v>1130</v>
      </c>
      <c r="C3" s="2"/>
      <c r="P3" s="1"/>
    </row>
    <row r="4" spans="1:16" ht="12.75" customHeight="1" x14ac:dyDescent="0.25">
      <c r="A4" s="2" t="s">
        <v>3</v>
      </c>
      <c r="B4" s="14" t="s">
        <v>4</v>
      </c>
      <c r="C4" s="2"/>
      <c r="P4" s="1"/>
    </row>
    <row r="5" spans="1:16" ht="12.75" customHeight="1" x14ac:dyDescent="0.25">
      <c r="A5" s="2" t="s">
        <v>5</v>
      </c>
      <c r="B5" s="14" t="s">
        <v>6</v>
      </c>
      <c r="C5" s="2"/>
      <c r="P5" s="1"/>
    </row>
    <row r="6" spans="1:16" ht="12.75" customHeight="1" x14ac:dyDescent="0.25">
      <c r="A6" s="2" t="s">
        <v>7</v>
      </c>
      <c r="B6" s="14" t="s">
        <v>8</v>
      </c>
      <c r="C6" s="2"/>
      <c r="G6" s="59" t="s">
        <v>9</v>
      </c>
      <c r="H6" s="59"/>
      <c r="I6" s="59"/>
      <c r="P6" s="1"/>
    </row>
    <row r="7" spans="1:16" ht="12.75" customHeight="1" x14ac:dyDescent="0.25">
      <c r="A7" s="2" t="s">
        <v>10</v>
      </c>
      <c r="B7" s="14" t="s">
        <v>11</v>
      </c>
      <c r="C7" s="57">
        <f>IFERROR((B5-B6)/(LEFT(B7, FIND(REPT(" ", 32), B7))-B6), "")</f>
        <v>0.22442653440793553</v>
      </c>
      <c r="G7" s="59"/>
      <c r="H7" s="59"/>
      <c r="I7" s="59"/>
      <c r="O7" s="67" t="s">
        <v>12</v>
      </c>
      <c r="P7" s="67"/>
    </row>
    <row r="8" spans="1:16" ht="12.75" customHeight="1" x14ac:dyDescent="0.25">
      <c r="A8" s="2" t="s">
        <v>13</v>
      </c>
      <c r="B8" s="14" t="s">
        <v>14</v>
      </c>
      <c r="C8" s="57" t="str">
        <f>IFERROR((B5-B6)/(LEFT(B8, FIND(REPT(" ", 32), B8))-B6), "")</f>
        <v/>
      </c>
      <c r="O8" s="67"/>
      <c r="P8" s="67"/>
    </row>
    <row r="9" spans="1:16" ht="12.75" customHeight="1" x14ac:dyDescent="0.25">
      <c r="B9" s="56"/>
      <c r="P9" s="1"/>
    </row>
    <row r="11" spans="1:16" ht="25.5" customHeight="1" x14ac:dyDescent="0.25">
      <c r="A11" s="8" t="s">
        <v>15</v>
      </c>
      <c r="B11" s="9"/>
      <c r="C11" s="9"/>
      <c r="D11" s="9"/>
      <c r="E11" s="9"/>
      <c r="F11" s="9"/>
      <c r="G11" s="66" t="s">
        <v>236</v>
      </c>
      <c r="H11" s="66"/>
      <c r="I11" s="66"/>
      <c r="J11" s="9"/>
      <c r="K11" s="9"/>
      <c r="L11" s="9"/>
      <c r="M11" s="9"/>
      <c r="N11" s="9"/>
      <c r="O11" s="9"/>
      <c r="P11" s="10"/>
    </row>
    <row r="12" spans="1:16" ht="12.75" customHeight="1" x14ac:dyDescent="0.2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ht="12.75" customHeight="1" x14ac:dyDescent="0.25">
      <c r="A13" s="17">
        <v>1</v>
      </c>
      <c r="B13" s="3" t="s">
        <v>49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5"/>
    </row>
    <row r="14" spans="1:16" ht="12.75" customHeight="1" x14ac:dyDescent="0.25">
      <c r="A14" s="18">
        <v>1.1000000000000001</v>
      </c>
      <c r="B14" s="4" t="s">
        <v>50</v>
      </c>
      <c r="C14" s="42">
        <v>4041</v>
      </c>
      <c r="D14" s="42">
        <v>1262</v>
      </c>
      <c r="E14" s="42">
        <v>8575</v>
      </c>
      <c r="F14" s="42">
        <v>19172</v>
      </c>
      <c r="G14" s="42">
        <v>10926</v>
      </c>
      <c r="H14" s="42">
        <v>17893</v>
      </c>
      <c r="I14" s="42">
        <v>15228</v>
      </c>
      <c r="J14" s="42">
        <v>18118</v>
      </c>
      <c r="K14" s="42">
        <v>16491</v>
      </c>
      <c r="L14" s="42">
        <v>20439</v>
      </c>
      <c r="M14" s="42"/>
      <c r="N14" s="42"/>
      <c r="O14" s="42"/>
      <c r="P14" s="43">
        <f>SUM(C14:O14)</f>
        <v>132145</v>
      </c>
    </row>
    <row r="15" spans="1:16" ht="12.75" customHeight="1" x14ac:dyDescent="0.25">
      <c r="A15" s="18">
        <v>1.2</v>
      </c>
      <c r="B15" s="4" t="s">
        <v>51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3"/>
    </row>
    <row r="16" spans="1:16" ht="12.75" customHeight="1" x14ac:dyDescent="0.25">
      <c r="A16" s="18" t="s">
        <v>52</v>
      </c>
      <c r="B16" s="4" t="s">
        <v>53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/>
      <c r="N16" s="42"/>
      <c r="O16" s="42"/>
      <c r="P16" s="43">
        <f t="shared" ref="P16:P26" si="0">SUM(C16:O16)</f>
        <v>0</v>
      </c>
    </row>
    <row r="17" spans="1:16" ht="12.75" customHeight="1" x14ac:dyDescent="0.25">
      <c r="A17" s="18" t="s">
        <v>54</v>
      </c>
      <c r="B17" s="4" t="s">
        <v>55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/>
      <c r="N17" s="42"/>
      <c r="O17" s="42"/>
      <c r="P17" s="43">
        <f t="shared" si="0"/>
        <v>0</v>
      </c>
    </row>
    <row r="18" spans="1:16" ht="12.75" customHeight="1" x14ac:dyDescent="0.25">
      <c r="A18" s="18">
        <v>1.3</v>
      </c>
      <c r="B18" s="4" t="s">
        <v>56</v>
      </c>
      <c r="C18" s="42">
        <v>49</v>
      </c>
      <c r="D18" s="42">
        <v>26</v>
      </c>
      <c r="E18" s="42">
        <v>25</v>
      </c>
      <c r="F18" s="42">
        <v>25</v>
      </c>
      <c r="G18" s="42">
        <v>100</v>
      </c>
      <c r="H18" s="42">
        <v>26</v>
      </c>
      <c r="I18" s="42">
        <v>25</v>
      </c>
      <c r="J18" s="42">
        <v>25</v>
      </c>
      <c r="K18" s="42">
        <v>26</v>
      </c>
      <c r="L18" s="42">
        <v>25</v>
      </c>
      <c r="M18" s="42"/>
      <c r="N18" s="42"/>
      <c r="O18" s="42"/>
      <c r="P18" s="43">
        <f t="shared" si="0"/>
        <v>352</v>
      </c>
    </row>
    <row r="19" spans="1:16" ht="12.75" customHeight="1" x14ac:dyDescent="0.25">
      <c r="A19" s="18">
        <v>1.4</v>
      </c>
      <c r="B19" s="4" t="s">
        <v>57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/>
      <c r="N19" s="42"/>
      <c r="O19" s="42"/>
      <c r="P19" s="43">
        <f t="shared" si="0"/>
        <v>0</v>
      </c>
    </row>
    <row r="20" spans="1:16" ht="12.75" customHeight="1" x14ac:dyDescent="0.25">
      <c r="A20" s="18">
        <v>1.5</v>
      </c>
      <c r="B20" s="4" t="s">
        <v>58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/>
      <c r="N20" s="42"/>
      <c r="O20" s="42"/>
      <c r="P20" s="43">
        <f t="shared" si="0"/>
        <v>0</v>
      </c>
    </row>
    <row r="21" spans="1:16" ht="12.75" customHeight="1" x14ac:dyDescent="0.25">
      <c r="A21" s="18">
        <v>1.6</v>
      </c>
      <c r="B21" s="4" t="s">
        <v>59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/>
      <c r="N21" s="42"/>
      <c r="O21" s="42"/>
      <c r="P21" s="43">
        <f t="shared" si="0"/>
        <v>0</v>
      </c>
    </row>
    <row r="22" spans="1:16" ht="12.75" customHeight="1" x14ac:dyDescent="0.25">
      <c r="A22" s="18">
        <v>1.7</v>
      </c>
      <c r="B22" s="4" t="s">
        <v>60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/>
      <c r="N22" s="42"/>
      <c r="O22" s="42"/>
      <c r="P22" s="43">
        <f t="shared" si="0"/>
        <v>0</v>
      </c>
    </row>
    <row r="23" spans="1:16" ht="12.75" customHeight="1" x14ac:dyDescent="0.25">
      <c r="A23" s="18">
        <v>1.8</v>
      </c>
      <c r="B23" s="4" t="s">
        <v>61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/>
      <c r="N23" s="42"/>
      <c r="O23" s="42"/>
      <c r="P23" s="43">
        <f t="shared" si="0"/>
        <v>0</v>
      </c>
    </row>
    <row r="24" spans="1:16" ht="12.75" customHeight="1" x14ac:dyDescent="0.25">
      <c r="A24" s="18">
        <v>1.9</v>
      </c>
      <c r="B24" s="4" t="s">
        <v>62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/>
      <c r="N24" s="42"/>
      <c r="O24" s="42"/>
      <c r="P24" s="43">
        <f t="shared" si="0"/>
        <v>0</v>
      </c>
    </row>
    <row r="25" spans="1:16" ht="12.75" customHeight="1" x14ac:dyDescent="0.25">
      <c r="A25" s="18" t="s">
        <v>63</v>
      </c>
      <c r="B25" s="4" t="s">
        <v>64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/>
      <c r="N25" s="42"/>
      <c r="O25" s="42"/>
      <c r="P25" s="43">
        <f t="shared" si="0"/>
        <v>0</v>
      </c>
    </row>
    <row r="26" spans="1:16" ht="12.75" customHeight="1" x14ac:dyDescent="0.25">
      <c r="A26" s="18">
        <v>1.1100000000000001</v>
      </c>
      <c r="B26" s="4" t="s">
        <v>65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/>
      <c r="N26" s="42"/>
      <c r="O26" s="42"/>
      <c r="P26" s="43">
        <f t="shared" si="0"/>
        <v>0</v>
      </c>
    </row>
    <row r="27" spans="1:16" ht="12.75" customHeight="1" x14ac:dyDescent="0.25">
      <c r="A27" s="18">
        <v>1.1200000000000001</v>
      </c>
      <c r="B27" s="4" t="s">
        <v>66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3"/>
    </row>
    <row r="28" spans="1:16" ht="12.75" customHeight="1" x14ac:dyDescent="0.25">
      <c r="A28" s="18" t="s">
        <v>67</v>
      </c>
      <c r="B28" s="4" t="s">
        <v>68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/>
      <c r="N28" s="42"/>
      <c r="O28" s="42"/>
      <c r="P28" s="43">
        <f t="shared" ref="P28:P35" si="1">SUM(C28:O28)</f>
        <v>0</v>
      </c>
    </row>
    <row r="29" spans="1:16" ht="12.75" customHeight="1" x14ac:dyDescent="0.25">
      <c r="A29" s="18" t="s">
        <v>69</v>
      </c>
      <c r="B29" s="4" t="s">
        <v>70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/>
      <c r="N29" s="42"/>
      <c r="O29" s="42"/>
      <c r="P29" s="43">
        <f t="shared" si="1"/>
        <v>0</v>
      </c>
    </row>
    <row r="30" spans="1:16" ht="12.75" customHeight="1" x14ac:dyDescent="0.25">
      <c r="A30" s="18" t="s">
        <v>71</v>
      </c>
      <c r="B30" s="4" t="s">
        <v>72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/>
      <c r="N30" s="42"/>
      <c r="O30" s="42"/>
      <c r="P30" s="43">
        <f t="shared" si="1"/>
        <v>0</v>
      </c>
    </row>
    <row r="31" spans="1:16" ht="12.75" customHeight="1" x14ac:dyDescent="0.25">
      <c r="A31" s="18">
        <v>1.1299999999999999</v>
      </c>
      <c r="B31" s="4" t="s">
        <v>73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/>
      <c r="N31" s="42"/>
      <c r="O31" s="42"/>
      <c r="P31" s="43">
        <f t="shared" si="1"/>
        <v>0</v>
      </c>
    </row>
    <row r="32" spans="1:16" ht="12.75" customHeight="1" x14ac:dyDescent="0.25">
      <c r="A32" s="18">
        <v>1.1399999999999999</v>
      </c>
      <c r="B32" s="4" t="s">
        <v>74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/>
      <c r="N32" s="42"/>
      <c r="O32" s="42"/>
      <c r="P32" s="43">
        <f t="shared" si="1"/>
        <v>0</v>
      </c>
    </row>
    <row r="33" spans="1:16" ht="12.75" customHeight="1" x14ac:dyDescent="0.25">
      <c r="A33" s="18">
        <v>1.1499999999999999</v>
      </c>
      <c r="B33" s="4" t="s">
        <v>75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/>
      <c r="N33" s="42"/>
      <c r="O33" s="42"/>
      <c r="P33" s="43">
        <f t="shared" si="1"/>
        <v>0</v>
      </c>
    </row>
    <row r="34" spans="1:16" ht="12.75" customHeight="1" x14ac:dyDescent="0.25">
      <c r="A34" s="18">
        <v>1.1599999999999999</v>
      </c>
      <c r="B34" s="4" t="s">
        <v>76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/>
      <c r="N34" s="42"/>
      <c r="O34" s="42"/>
      <c r="P34" s="43">
        <f t="shared" si="1"/>
        <v>0</v>
      </c>
    </row>
    <row r="35" spans="1:16" ht="12.75" customHeight="1" x14ac:dyDescent="0.25">
      <c r="A35" s="19">
        <v>1.17</v>
      </c>
      <c r="B35" s="5" t="s">
        <v>77</v>
      </c>
      <c r="C35" s="44">
        <v>12600</v>
      </c>
      <c r="D35" s="44">
        <v>0</v>
      </c>
      <c r="E35" s="44">
        <v>0</v>
      </c>
      <c r="F35" s="44">
        <v>0</v>
      </c>
      <c r="G35" s="44">
        <v>-2100</v>
      </c>
      <c r="H35" s="44">
        <v>-2100</v>
      </c>
      <c r="I35" s="44">
        <v>-2100</v>
      </c>
      <c r="J35" s="44">
        <v>-2100</v>
      </c>
      <c r="K35" s="44">
        <v>-2100</v>
      </c>
      <c r="L35" s="44">
        <v>-2100</v>
      </c>
      <c r="M35" s="44"/>
      <c r="N35" s="44"/>
      <c r="O35" s="44"/>
      <c r="P35" s="45">
        <f t="shared" si="1"/>
        <v>0</v>
      </c>
    </row>
    <row r="36" spans="1:16" ht="12.75" customHeight="1" x14ac:dyDescent="0.25">
      <c r="A36" s="20"/>
      <c r="B36" s="15" t="s">
        <v>78</v>
      </c>
      <c r="C36" s="46">
        <f t="shared" ref="C36:P36" si="2">SUM(C13:C35)</f>
        <v>16690</v>
      </c>
      <c r="D36" s="46">
        <f t="shared" si="2"/>
        <v>1288</v>
      </c>
      <c r="E36" s="46">
        <f t="shared" si="2"/>
        <v>8600</v>
      </c>
      <c r="F36" s="46">
        <f t="shared" si="2"/>
        <v>19197</v>
      </c>
      <c r="G36" s="46">
        <f t="shared" si="2"/>
        <v>8926</v>
      </c>
      <c r="H36" s="46">
        <f t="shared" si="2"/>
        <v>15819</v>
      </c>
      <c r="I36" s="46">
        <f t="shared" si="2"/>
        <v>13153</v>
      </c>
      <c r="J36" s="46">
        <f t="shared" si="2"/>
        <v>16043</v>
      </c>
      <c r="K36" s="46">
        <f t="shared" si="2"/>
        <v>14417</v>
      </c>
      <c r="L36" s="46">
        <f t="shared" si="2"/>
        <v>18364</v>
      </c>
      <c r="M36" s="46">
        <f t="shared" si="2"/>
        <v>0</v>
      </c>
      <c r="N36" s="46">
        <f t="shared" si="2"/>
        <v>0</v>
      </c>
      <c r="O36" s="46">
        <f t="shared" si="2"/>
        <v>0</v>
      </c>
      <c r="P36" s="47">
        <f t="shared" si="2"/>
        <v>132497</v>
      </c>
    </row>
    <row r="37" spans="1:16" ht="12.75" customHeight="1" x14ac:dyDescent="0.25">
      <c r="A37" s="18"/>
      <c r="B37" s="4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3"/>
    </row>
    <row r="38" spans="1:16" ht="12.75" customHeight="1" x14ac:dyDescent="0.25">
      <c r="A38" s="18">
        <v>2</v>
      </c>
      <c r="B38" s="4" t="s">
        <v>79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3"/>
    </row>
    <row r="39" spans="1:16" ht="12.75" customHeight="1" x14ac:dyDescent="0.25">
      <c r="A39" s="18">
        <v>2.1</v>
      </c>
      <c r="B39" s="4" t="s">
        <v>80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3"/>
    </row>
    <row r="40" spans="1:16" ht="12.75" customHeight="1" x14ac:dyDescent="0.25">
      <c r="A40" s="18" t="s">
        <v>81</v>
      </c>
      <c r="B40" s="4" t="s">
        <v>82</v>
      </c>
      <c r="C40" s="42">
        <v>528.63</v>
      </c>
      <c r="D40" s="42">
        <v>935.41409999999996</v>
      </c>
      <c r="E40" s="42">
        <v>1171.2907</v>
      </c>
      <c r="F40" s="42">
        <v>1056.1077</v>
      </c>
      <c r="G40" s="42">
        <v>745.01800000000003</v>
      </c>
      <c r="H40" s="42">
        <v>1230.5106000000001</v>
      </c>
      <c r="I40" s="42">
        <v>1208.5597</v>
      </c>
      <c r="J40" s="42">
        <v>1452.7088000000001</v>
      </c>
      <c r="K40" s="42">
        <v>1268.4377999999999</v>
      </c>
      <c r="L40" s="42">
        <v>1550.7056</v>
      </c>
      <c r="M40" s="42"/>
      <c r="N40" s="42"/>
      <c r="O40" s="42"/>
      <c r="P40" s="43">
        <f t="shared" ref="P40:P52" si="3">SUM(C40:O40)</f>
        <v>11147.383</v>
      </c>
    </row>
    <row r="41" spans="1:16" ht="12.75" customHeight="1" x14ac:dyDescent="0.25">
      <c r="A41" s="18" t="s">
        <v>83</v>
      </c>
      <c r="B41" s="4" t="s">
        <v>84</v>
      </c>
      <c r="C41" s="42">
        <v>0</v>
      </c>
      <c r="D41" s="42">
        <v>18.754000000000001</v>
      </c>
      <c r="E41" s="42">
        <v>20.5273</v>
      </c>
      <c r="F41" s="42">
        <v>29.6386</v>
      </c>
      <c r="G41" s="42">
        <v>58.72</v>
      </c>
      <c r="H41" s="42">
        <v>79.061599999999999</v>
      </c>
      <c r="I41" s="42">
        <v>63.7791</v>
      </c>
      <c r="J41" s="42">
        <v>13.526999999999999</v>
      </c>
      <c r="K41" s="42">
        <v>29.375599999999999</v>
      </c>
      <c r="L41" s="42">
        <v>59.172699999999999</v>
      </c>
      <c r="M41" s="42"/>
      <c r="N41" s="42"/>
      <c r="O41" s="42"/>
      <c r="P41" s="43">
        <f t="shared" si="3"/>
        <v>372.55590000000001</v>
      </c>
    </row>
    <row r="42" spans="1:16" ht="12.75" customHeight="1" x14ac:dyDescent="0.25">
      <c r="A42" s="18" t="s">
        <v>85</v>
      </c>
      <c r="B42" s="4" t="s">
        <v>86</v>
      </c>
      <c r="C42" s="42">
        <v>3.51</v>
      </c>
      <c r="D42" s="42">
        <v>0</v>
      </c>
      <c r="E42" s="42">
        <v>39.032499999999999</v>
      </c>
      <c r="F42" s="42">
        <v>27.194500000000001</v>
      </c>
      <c r="G42" s="42">
        <v>55.67</v>
      </c>
      <c r="H42" s="42">
        <v>76.557400000000001</v>
      </c>
      <c r="I42" s="42">
        <v>107.33450000000001</v>
      </c>
      <c r="J42" s="42">
        <v>108.9948</v>
      </c>
      <c r="K42" s="42">
        <v>182.8263</v>
      </c>
      <c r="L42" s="42">
        <v>168.6729</v>
      </c>
      <c r="M42" s="42"/>
      <c r="N42" s="42"/>
      <c r="O42" s="42"/>
      <c r="P42" s="43">
        <f t="shared" si="3"/>
        <v>769.79290000000003</v>
      </c>
    </row>
    <row r="43" spans="1:16" ht="12.75" customHeight="1" x14ac:dyDescent="0.25">
      <c r="A43" s="18" t="s">
        <v>87</v>
      </c>
      <c r="B43" s="4" t="s">
        <v>88</v>
      </c>
      <c r="C43" s="42">
        <v>0</v>
      </c>
      <c r="D43" s="42">
        <v>0.79900000000000004</v>
      </c>
      <c r="E43" s="42">
        <v>0.79800000000000004</v>
      </c>
      <c r="F43" s="42">
        <v>37.93</v>
      </c>
      <c r="G43" s="42">
        <v>46</v>
      </c>
      <c r="H43" s="42">
        <v>65.255399999999995</v>
      </c>
      <c r="I43" s="42">
        <v>97.566599999999994</v>
      </c>
      <c r="J43" s="42">
        <v>150.55000000000001</v>
      </c>
      <c r="K43" s="42">
        <v>112.7334</v>
      </c>
      <c r="L43" s="42">
        <v>123.0172</v>
      </c>
      <c r="M43" s="42"/>
      <c r="N43" s="42"/>
      <c r="O43" s="42"/>
      <c r="P43" s="43">
        <f t="shared" si="3"/>
        <v>634.64959999999996</v>
      </c>
    </row>
    <row r="44" spans="1:16" ht="12.75" customHeight="1" x14ac:dyDescent="0.25">
      <c r="A44" s="18" t="s">
        <v>89</v>
      </c>
      <c r="B44" s="4" t="s">
        <v>90</v>
      </c>
      <c r="C44" s="42">
        <v>0</v>
      </c>
      <c r="D44" s="42">
        <v>66.78</v>
      </c>
      <c r="E44" s="42">
        <v>2.9119999999999999</v>
      </c>
      <c r="F44" s="42">
        <v>6111.4650000000001</v>
      </c>
      <c r="G44" s="42">
        <v>6.7539999999999996</v>
      </c>
      <c r="H44" s="42">
        <v>84.784000000000006</v>
      </c>
      <c r="I44" s="42">
        <v>144.42400000000001</v>
      </c>
      <c r="J44" s="42">
        <v>109.081</v>
      </c>
      <c r="K44" s="42">
        <v>136.864</v>
      </c>
      <c r="L44" s="42">
        <v>198.852</v>
      </c>
      <c r="M44" s="42"/>
      <c r="N44" s="42"/>
      <c r="O44" s="42"/>
      <c r="P44" s="43">
        <f t="shared" si="3"/>
        <v>6861.9159999999993</v>
      </c>
    </row>
    <row r="45" spans="1:16" ht="12.75" customHeight="1" x14ac:dyDescent="0.25">
      <c r="A45" s="18" t="s">
        <v>91</v>
      </c>
      <c r="B45" s="4" t="s">
        <v>92</v>
      </c>
      <c r="C45" s="42">
        <v>307.59899999999999</v>
      </c>
      <c r="D45" s="42">
        <v>1024.9247800000001</v>
      </c>
      <c r="E45" s="42">
        <v>521.96576000000005</v>
      </c>
      <c r="F45" s="42">
        <v>825.28698999999995</v>
      </c>
      <c r="G45" s="42">
        <v>963.29472999999996</v>
      </c>
      <c r="H45" s="42">
        <v>221.99677</v>
      </c>
      <c r="I45" s="42">
        <v>530.96092999999996</v>
      </c>
      <c r="J45" s="42">
        <v>4598.1831599999996</v>
      </c>
      <c r="K45" s="42">
        <v>669.09942999999998</v>
      </c>
      <c r="L45" s="42">
        <v>396.26382999999998</v>
      </c>
      <c r="M45" s="42"/>
      <c r="N45" s="42"/>
      <c r="O45" s="42"/>
      <c r="P45" s="43">
        <f t="shared" si="3"/>
        <v>10059.57538</v>
      </c>
    </row>
    <row r="46" spans="1:16" ht="12.75" customHeight="1" x14ac:dyDescent="0.25">
      <c r="A46" s="18" t="s">
        <v>93</v>
      </c>
      <c r="B46" s="4" t="s">
        <v>94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/>
      <c r="N46" s="42"/>
      <c r="O46" s="42"/>
      <c r="P46" s="43">
        <f t="shared" si="3"/>
        <v>0</v>
      </c>
    </row>
    <row r="47" spans="1:16" ht="12.75" customHeight="1" x14ac:dyDescent="0.25">
      <c r="A47" s="18" t="s">
        <v>95</v>
      </c>
      <c r="B47" s="4" t="s">
        <v>96</v>
      </c>
      <c r="C47" s="42">
        <v>0</v>
      </c>
      <c r="D47" s="42">
        <v>0</v>
      </c>
      <c r="E47" s="42">
        <v>1.913</v>
      </c>
      <c r="F47" s="42">
        <v>11.914</v>
      </c>
      <c r="G47" s="42">
        <v>0</v>
      </c>
      <c r="H47" s="42">
        <v>2.1259999999999999</v>
      </c>
      <c r="I47" s="42">
        <v>2.8239999999999998</v>
      </c>
      <c r="J47" s="42">
        <v>3.57</v>
      </c>
      <c r="K47" s="42">
        <v>3.0720000000000001</v>
      </c>
      <c r="L47" s="42">
        <v>0</v>
      </c>
      <c r="M47" s="42"/>
      <c r="N47" s="42"/>
      <c r="O47" s="42"/>
      <c r="P47" s="43">
        <f t="shared" si="3"/>
        <v>25.419</v>
      </c>
    </row>
    <row r="48" spans="1:16" ht="12.75" customHeight="1" x14ac:dyDescent="0.25">
      <c r="A48" s="18" t="s">
        <v>97</v>
      </c>
      <c r="B48" s="4" t="s">
        <v>98</v>
      </c>
      <c r="C48" s="42">
        <v>0</v>
      </c>
      <c r="D48" s="42">
        <v>0</v>
      </c>
      <c r="E48" s="42">
        <v>303.01400000000001</v>
      </c>
      <c r="F48" s="42">
        <v>230.21299999999999</v>
      </c>
      <c r="G48" s="42">
        <v>245.67099999999999</v>
      </c>
      <c r="H48" s="42">
        <v>0</v>
      </c>
      <c r="I48" s="42">
        <v>0</v>
      </c>
      <c r="J48" s="42">
        <v>1256.72</v>
      </c>
      <c r="K48" s="42">
        <v>2</v>
      </c>
      <c r="L48" s="42">
        <v>0</v>
      </c>
      <c r="M48" s="42"/>
      <c r="N48" s="42"/>
      <c r="O48" s="42"/>
      <c r="P48" s="43">
        <f t="shared" si="3"/>
        <v>2037.6179999999999</v>
      </c>
    </row>
    <row r="49" spans="1:16" ht="12.75" customHeight="1" x14ac:dyDescent="0.25">
      <c r="A49" s="18" t="s">
        <v>99</v>
      </c>
      <c r="B49" s="4" t="s">
        <v>100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/>
      <c r="N49" s="42"/>
      <c r="O49" s="42"/>
      <c r="P49" s="43">
        <f t="shared" si="3"/>
        <v>0</v>
      </c>
    </row>
    <row r="50" spans="1:16" ht="12.75" customHeight="1" x14ac:dyDescent="0.25">
      <c r="A50" s="18" t="s">
        <v>101</v>
      </c>
      <c r="B50" s="4" t="s">
        <v>102</v>
      </c>
      <c r="C50" s="42">
        <v>0</v>
      </c>
      <c r="D50" s="42">
        <v>96.73</v>
      </c>
      <c r="E50" s="42">
        <v>12.739000000000001</v>
      </c>
      <c r="F50" s="42">
        <v>4696.9965599999996</v>
      </c>
      <c r="G50" s="42">
        <v>152.13300000000001</v>
      </c>
      <c r="H50" s="42">
        <v>71.062790000000007</v>
      </c>
      <c r="I50" s="42">
        <v>0.878</v>
      </c>
      <c r="J50" s="42">
        <v>210.2199</v>
      </c>
      <c r="K50" s="42">
        <v>204.00200000000001</v>
      </c>
      <c r="L50" s="42">
        <v>0</v>
      </c>
      <c r="M50" s="42"/>
      <c r="N50" s="42"/>
      <c r="O50" s="42"/>
      <c r="P50" s="43">
        <f t="shared" si="3"/>
        <v>5444.7612499999996</v>
      </c>
    </row>
    <row r="51" spans="1:16" ht="12.75" customHeight="1" x14ac:dyDescent="0.25">
      <c r="A51" s="18" t="s">
        <v>103</v>
      </c>
      <c r="B51" s="4" t="s">
        <v>104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/>
      <c r="N51" s="42"/>
      <c r="O51" s="42"/>
      <c r="P51" s="43">
        <f t="shared" si="3"/>
        <v>0</v>
      </c>
    </row>
    <row r="52" spans="1:16" ht="12.75" customHeight="1" x14ac:dyDescent="0.25">
      <c r="A52" s="18" t="s">
        <v>105</v>
      </c>
      <c r="B52" s="4" t="s">
        <v>106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/>
      <c r="N52" s="42"/>
      <c r="O52" s="42"/>
      <c r="P52" s="43">
        <f t="shared" si="3"/>
        <v>0</v>
      </c>
    </row>
    <row r="53" spans="1:16" ht="12.75" customHeight="1" x14ac:dyDescent="0.25">
      <c r="A53" s="18">
        <v>2.2000000000000002</v>
      </c>
      <c r="B53" s="4" t="s">
        <v>107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3"/>
    </row>
    <row r="54" spans="1:16" ht="12.75" customHeight="1" x14ac:dyDescent="0.25">
      <c r="A54" s="18" t="s">
        <v>108</v>
      </c>
      <c r="B54" s="4" t="s">
        <v>109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/>
      <c r="N54" s="42"/>
      <c r="O54" s="42"/>
      <c r="P54" s="43">
        <f t="shared" ref="P54:P71" si="4">SUM(C54:O54)</f>
        <v>0</v>
      </c>
    </row>
    <row r="55" spans="1:16" ht="12.75" customHeight="1" x14ac:dyDescent="0.25">
      <c r="A55" s="18" t="s">
        <v>110</v>
      </c>
      <c r="B55" s="4" t="s">
        <v>111</v>
      </c>
      <c r="C55" s="42">
        <v>0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/>
      <c r="N55" s="42"/>
      <c r="O55" s="42"/>
      <c r="P55" s="43">
        <f t="shared" si="4"/>
        <v>0</v>
      </c>
    </row>
    <row r="56" spans="1:16" ht="12.75" customHeight="1" x14ac:dyDescent="0.25">
      <c r="A56" s="18" t="s">
        <v>112</v>
      </c>
      <c r="B56" s="4" t="s">
        <v>113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/>
      <c r="N56" s="42"/>
      <c r="O56" s="42"/>
      <c r="P56" s="43">
        <f t="shared" si="4"/>
        <v>0</v>
      </c>
    </row>
    <row r="57" spans="1:16" ht="12.75" customHeight="1" x14ac:dyDescent="0.25">
      <c r="A57" s="18" t="s">
        <v>114</v>
      </c>
      <c r="B57" s="4" t="s">
        <v>115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/>
      <c r="N57" s="42"/>
      <c r="O57" s="42"/>
      <c r="P57" s="43">
        <f t="shared" si="4"/>
        <v>0</v>
      </c>
    </row>
    <row r="58" spans="1:16" ht="12.75" customHeight="1" x14ac:dyDescent="0.25">
      <c r="A58" s="18" t="s">
        <v>116</v>
      </c>
      <c r="B58" s="4" t="s">
        <v>117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/>
      <c r="N58" s="42"/>
      <c r="O58" s="42"/>
      <c r="P58" s="43">
        <f t="shared" si="4"/>
        <v>0</v>
      </c>
    </row>
    <row r="59" spans="1:16" ht="12.75" customHeight="1" x14ac:dyDescent="0.25">
      <c r="A59" s="18" t="s">
        <v>118</v>
      </c>
      <c r="B59" s="4" t="s">
        <v>119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/>
      <c r="N59" s="42"/>
      <c r="O59" s="42"/>
      <c r="P59" s="43">
        <f t="shared" si="4"/>
        <v>0</v>
      </c>
    </row>
    <row r="60" spans="1:16" ht="12.75" customHeight="1" x14ac:dyDescent="0.25">
      <c r="A60" s="18" t="s">
        <v>120</v>
      </c>
      <c r="B60" s="4" t="s">
        <v>121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/>
      <c r="N60" s="42"/>
      <c r="O60" s="42"/>
      <c r="P60" s="43">
        <f t="shared" si="4"/>
        <v>0</v>
      </c>
    </row>
    <row r="61" spans="1:16" ht="12.75" customHeight="1" x14ac:dyDescent="0.25">
      <c r="A61" s="18" t="s">
        <v>122</v>
      </c>
      <c r="B61" s="4" t="s">
        <v>123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/>
      <c r="N61" s="42"/>
      <c r="O61" s="42"/>
      <c r="P61" s="43">
        <f t="shared" si="4"/>
        <v>0</v>
      </c>
    </row>
    <row r="62" spans="1:16" ht="12.75" customHeight="1" x14ac:dyDescent="0.25">
      <c r="A62" s="18" t="s">
        <v>124</v>
      </c>
      <c r="B62" s="4" t="s">
        <v>125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/>
      <c r="N62" s="42"/>
      <c r="O62" s="42"/>
      <c r="P62" s="43">
        <f t="shared" si="4"/>
        <v>0</v>
      </c>
    </row>
    <row r="63" spans="1:16" ht="12.75" customHeight="1" x14ac:dyDescent="0.25">
      <c r="A63" s="18" t="s">
        <v>126</v>
      </c>
      <c r="B63" s="4" t="s">
        <v>127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/>
      <c r="N63" s="42"/>
      <c r="O63" s="42"/>
      <c r="P63" s="43">
        <f t="shared" si="4"/>
        <v>0</v>
      </c>
    </row>
    <row r="64" spans="1:16" ht="12.75" customHeight="1" x14ac:dyDescent="0.25">
      <c r="A64" s="18" t="s">
        <v>128</v>
      </c>
      <c r="B64" s="4" t="s">
        <v>129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/>
      <c r="N64" s="42"/>
      <c r="O64" s="42"/>
      <c r="P64" s="43">
        <f t="shared" si="4"/>
        <v>0</v>
      </c>
    </row>
    <row r="65" spans="1:16" ht="12.75" customHeight="1" x14ac:dyDescent="0.25">
      <c r="A65" s="18" t="s">
        <v>130</v>
      </c>
      <c r="B65" s="4" t="s">
        <v>131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/>
      <c r="N65" s="42"/>
      <c r="O65" s="42"/>
      <c r="P65" s="43">
        <f t="shared" si="4"/>
        <v>0</v>
      </c>
    </row>
    <row r="66" spans="1:16" ht="12.75" customHeight="1" x14ac:dyDescent="0.25">
      <c r="A66" s="18" t="s">
        <v>132</v>
      </c>
      <c r="B66" s="4" t="s">
        <v>133</v>
      </c>
      <c r="C66" s="42">
        <v>0</v>
      </c>
      <c r="D66" s="42">
        <v>0</v>
      </c>
      <c r="E66" s="42">
        <v>0</v>
      </c>
      <c r="F66" s="42">
        <v>139.19999999999999</v>
      </c>
      <c r="G66" s="42">
        <v>8</v>
      </c>
      <c r="H66" s="42">
        <v>599.50400000000002</v>
      </c>
      <c r="I66" s="42">
        <v>0</v>
      </c>
      <c r="J66" s="42">
        <v>16.72749</v>
      </c>
      <c r="K66" s="42">
        <v>11.324999999999999</v>
      </c>
      <c r="L66" s="42">
        <v>0</v>
      </c>
      <c r="M66" s="42"/>
      <c r="N66" s="42"/>
      <c r="O66" s="42"/>
      <c r="P66" s="43">
        <f t="shared" si="4"/>
        <v>774.75648999999999</v>
      </c>
    </row>
    <row r="67" spans="1:16" ht="12.75" customHeight="1" x14ac:dyDescent="0.25">
      <c r="A67" s="18" t="s">
        <v>134</v>
      </c>
      <c r="B67" s="4" t="s">
        <v>135</v>
      </c>
      <c r="C67" s="42">
        <v>467.67750000000001</v>
      </c>
      <c r="D67" s="42">
        <v>165.5</v>
      </c>
      <c r="E67" s="42">
        <v>45</v>
      </c>
      <c r="F67" s="42">
        <v>2.5</v>
      </c>
      <c r="G67" s="42">
        <v>0</v>
      </c>
      <c r="H67" s="42">
        <v>244.75</v>
      </c>
      <c r="I67" s="42">
        <v>6</v>
      </c>
      <c r="J67" s="42">
        <v>0</v>
      </c>
      <c r="K67" s="42">
        <v>3394.86</v>
      </c>
      <c r="L67" s="42">
        <v>-76</v>
      </c>
      <c r="M67" s="42"/>
      <c r="N67" s="42"/>
      <c r="O67" s="42"/>
      <c r="P67" s="43">
        <f t="shared" si="4"/>
        <v>4250.2875000000004</v>
      </c>
    </row>
    <row r="68" spans="1:16" ht="12.75" customHeight="1" x14ac:dyDescent="0.25">
      <c r="A68" s="18" t="s">
        <v>136</v>
      </c>
      <c r="B68" s="4" t="s">
        <v>137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/>
      <c r="N68" s="42"/>
      <c r="O68" s="42"/>
      <c r="P68" s="43">
        <f t="shared" si="4"/>
        <v>0</v>
      </c>
    </row>
    <row r="69" spans="1:16" ht="12.75" customHeight="1" x14ac:dyDescent="0.25">
      <c r="A69" s="18" t="s">
        <v>138</v>
      </c>
      <c r="B69" s="4" t="s">
        <v>139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/>
      <c r="N69" s="42"/>
      <c r="O69" s="42"/>
      <c r="P69" s="43">
        <f t="shared" si="4"/>
        <v>0</v>
      </c>
    </row>
    <row r="70" spans="1:16" ht="12.75" customHeight="1" x14ac:dyDescent="0.25">
      <c r="A70" s="18" t="s">
        <v>140</v>
      </c>
      <c r="B70" s="4" t="s">
        <v>141</v>
      </c>
      <c r="C70" s="42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/>
      <c r="N70" s="42"/>
      <c r="O70" s="42"/>
      <c r="P70" s="43">
        <f t="shared" si="4"/>
        <v>0</v>
      </c>
    </row>
    <row r="71" spans="1:16" ht="12.75" customHeight="1" x14ac:dyDescent="0.25">
      <c r="A71" s="18" t="s">
        <v>142</v>
      </c>
      <c r="B71" s="4" t="s">
        <v>143</v>
      </c>
      <c r="C71" s="42">
        <v>0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/>
      <c r="N71" s="42"/>
      <c r="O71" s="42"/>
      <c r="P71" s="43">
        <f t="shared" si="4"/>
        <v>0</v>
      </c>
    </row>
    <row r="72" spans="1:16" ht="12.75" customHeight="1" x14ac:dyDescent="0.25">
      <c r="A72" s="18">
        <v>2.2999999999999998</v>
      </c>
      <c r="B72" s="4" t="s">
        <v>144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3"/>
    </row>
    <row r="73" spans="1:16" ht="12.75" customHeight="1" x14ac:dyDescent="0.25">
      <c r="A73" s="18" t="s">
        <v>145</v>
      </c>
      <c r="B73" s="4" t="s">
        <v>146</v>
      </c>
      <c r="C73" s="42">
        <v>178.63399999999999</v>
      </c>
      <c r="D73" s="42">
        <v>402.67809999999997</v>
      </c>
      <c r="E73" s="42">
        <v>0</v>
      </c>
      <c r="F73" s="42">
        <v>0</v>
      </c>
      <c r="G73" s="42">
        <v>0.85940000000000005</v>
      </c>
      <c r="H73" s="42">
        <v>70</v>
      </c>
      <c r="I73" s="42">
        <v>5</v>
      </c>
      <c r="J73" s="42">
        <v>304.37400000000002</v>
      </c>
      <c r="K73" s="42">
        <v>0</v>
      </c>
      <c r="L73" s="42">
        <v>0</v>
      </c>
      <c r="M73" s="42"/>
      <c r="N73" s="42"/>
      <c r="O73" s="42"/>
      <c r="P73" s="43">
        <f t="shared" ref="P73:P81" si="5">SUM(C73:O73)</f>
        <v>961.54550000000006</v>
      </c>
    </row>
    <row r="74" spans="1:16" ht="12.75" customHeight="1" x14ac:dyDescent="0.25">
      <c r="A74" s="18" t="s">
        <v>147</v>
      </c>
      <c r="B74" s="4" t="s">
        <v>148</v>
      </c>
      <c r="C74" s="42">
        <v>0</v>
      </c>
      <c r="D74" s="42">
        <v>0</v>
      </c>
      <c r="E74" s="42">
        <v>0</v>
      </c>
      <c r="F74" s="42">
        <v>104.11</v>
      </c>
      <c r="G74" s="42">
        <v>0</v>
      </c>
      <c r="H74" s="42">
        <v>1.9139999999999999</v>
      </c>
      <c r="I74" s="42">
        <v>88</v>
      </c>
      <c r="J74" s="42">
        <v>464.51731000000001</v>
      </c>
      <c r="K74" s="42">
        <v>44.031500000000001</v>
      </c>
      <c r="L74" s="42">
        <v>0</v>
      </c>
      <c r="M74" s="42"/>
      <c r="N74" s="42"/>
      <c r="O74" s="42"/>
      <c r="P74" s="43">
        <f t="shared" si="5"/>
        <v>702.57281000000012</v>
      </c>
    </row>
    <row r="75" spans="1:16" ht="12.75" customHeight="1" x14ac:dyDescent="0.25">
      <c r="A75" s="18" t="s">
        <v>149</v>
      </c>
      <c r="B75" s="4" t="s">
        <v>150</v>
      </c>
      <c r="C75" s="42">
        <v>0</v>
      </c>
      <c r="D75" s="42">
        <v>0</v>
      </c>
      <c r="E75" s="42">
        <v>0</v>
      </c>
      <c r="F75" s="42">
        <v>0</v>
      </c>
      <c r="G75" s="42">
        <v>7.3902999999999999</v>
      </c>
      <c r="H75" s="42">
        <v>0</v>
      </c>
      <c r="I75" s="42">
        <v>0</v>
      </c>
      <c r="J75" s="42">
        <v>32.436599999999999</v>
      </c>
      <c r="K75" s="42">
        <v>0</v>
      </c>
      <c r="L75" s="42">
        <v>0</v>
      </c>
      <c r="M75" s="42"/>
      <c r="N75" s="42"/>
      <c r="O75" s="42"/>
      <c r="P75" s="43">
        <f t="shared" si="5"/>
        <v>39.826899999999995</v>
      </c>
    </row>
    <row r="76" spans="1:16" ht="12.75" customHeight="1" x14ac:dyDescent="0.25">
      <c r="A76" s="18" t="s">
        <v>151</v>
      </c>
      <c r="B76" s="4" t="s">
        <v>152</v>
      </c>
      <c r="C76" s="42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0</v>
      </c>
      <c r="M76" s="42"/>
      <c r="N76" s="42"/>
      <c r="O76" s="42"/>
      <c r="P76" s="43">
        <f t="shared" si="5"/>
        <v>0</v>
      </c>
    </row>
    <row r="77" spans="1:16" ht="12.75" customHeight="1" x14ac:dyDescent="0.25">
      <c r="A77" s="18" t="s">
        <v>153</v>
      </c>
      <c r="B77" s="4" t="s">
        <v>154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0</v>
      </c>
      <c r="M77" s="42"/>
      <c r="N77" s="42"/>
      <c r="O77" s="42"/>
      <c r="P77" s="43">
        <f t="shared" si="5"/>
        <v>0</v>
      </c>
    </row>
    <row r="78" spans="1:16" ht="12.75" customHeight="1" x14ac:dyDescent="0.25">
      <c r="A78" s="18" t="s">
        <v>155</v>
      </c>
      <c r="B78" s="4" t="s">
        <v>156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/>
      <c r="N78" s="42"/>
      <c r="O78" s="42"/>
      <c r="P78" s="43">
        <f t="shared" si="5"/>
        <v>0</v>
      </c>
    </row>
    <row r="79" spans="1:16" ht="12.75" customHeight="1" x14ac:dyDescent="0.25">
      <c r="A79" s="18" t="s">
        <v>157</v>
      </c>
      <c r="B79" s="4" t="s">
        <v>158</v>
      </c>
      <c r="C79" s="42">
        <v>0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2">
        <v>0</v>
      </c>
      <c r="K79" s="42">
        <v>0</v>
      </c>
      <c r="L79" s="42">
        <v>0</v>
      </c>
      <c r="M79" s="42"/>
      <c r="N79" s="42"/>
      <c r="O79" s="42"/>
      <c r="P79" s="43">
        <f t="shared" si="5"/>
        <v>0</v>
      </c>
    </row>
    <row r="80" spans="1:16" ht="12.75" customHeight="1" x14ac:dyDescent="0.25">
      <c r="A80" s="18" t="s">
        <v>159</v>
      </c>
      <c r="B80" s="4" t="s">
        <v>160</v>
      </c>
      <c r="C80" s="42">
        <v>0</v>
      </c>
      <c r="D80" s="42">
        <v>0</v>
      </c>
      <c r="E80" s="42">
        <v>0</v>
      </c>
      <c r="F80" s="42">
        <v>0</v>
      </c>
      <c r="G80" s="42">
        <v>0</v>
      </c>
      <c r="H80" s="42">
        <v>0</v>
      </c>
      <c r="I80" s="42">
        <v>0</v>
      </c>
      <c r="J80" s="42">
        <v>0</v>
      </c>
      <c r="K80" s="42">
        <v>0</v>
      </c>
      <c r="L80" s="42">
        <v>0</v>
      </c>
      <c r="M80" s="42"/>
      <c r="N80" s="42"/>
      <c r="O80" s="42"/>
      <c r="P80" s="43">
        <f t="shared" si="5"/>
        <v>0</v>
      </c>
    </row>
    <row r="81" spans="1:16" ht="12.75" customHeight="1" x14ac:dyDescent="0.25">
      <c r="A81" s="18" t="s">
        <v>161</v>
      </c>
      <c r="B81" s="4" t="s">
        <v>162</v>
      </c>
      <c r="C81" s="42">
        <v>0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42">
        <v>25.702529999999999</v>
      </c>
      <c r="L81" s="42">
        <v>25.702529999999999</v>
      </c>
      <c r="M81" s="42"/>
      <c r="N81" s="42"/>
      <c r="O81" s="42"/>
      <c r="P81" s="43">
        <f t="shared" si="5"/>
        <v>51.405059999999999</v>
      </c>
    </row>
    <row r="82" spans="1:16" ht="12.75" customHeight="1" x14ac:dyDescent="0.25">
      <c r="A82" s="18">
        <v>2.4</v>
      </c>
      <c r="B82" s="4" t="s">
        <v>163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3"/>
    </row>
    <row r="83" spans="1:16" ht="12.75" customHeight="1" x14ac:dyDescent="0.25">
      <c r="A83" s="18" t="s">
        <v>164</v>
      </c>
      <c r="B83" s="4" t="s">
        <v>165</v>
      </c>
      <c r="C83" s="42">
        <v>0</v>
      </c>
      <c r="D83" s="42">
        <v>2853.2845299999999</v>
      </c>
      <c r="E83" s="42">
        <v>7084.8357299999998</v>
      </c>
      <c r="F83" s="42">
        <v>6886.2059499999996</v>
      </c>
      <c r="G83" s="42">
        <v>6250.5301300000001</v>
      </c>
      <c r="H83" s="42">
        <v>0</v>
      </c>
      <c r="I83" s="42">
        <v>54.338999999999999</v>
      </c>
      <c r="J83" s="42">
        <v>22161.8645</v>
      </c>
      <c r="K83" s="42">
        <f>3638.732+4</f>
        <v>3642.732</v>
      </c>
      <c r="L83" s="42">
        <v>4</v>
      </c>
      <c r="M83" s="42"/>
      <c r="N83" s="42"/>
      <c r="O83" s="42"/>
      <c r="P83" s="43">
        <f t="shared" ref="P83:P92" si="6">SUM(C83:O83)</f>
        <v>48937.791840000005</v>
      </c>
    </row>
    <row r="84" spans="1:16" ht="12.75" customHeight="1" x14ac:dyDescent="0.25">
      <c r="A84" s="18" t="s">
        <v>166</v>
      </c>
      <c r="B84" s="4" t="s">
        <v>167</v>
      </c>
      <c r="C84" s="42">
        <v>0</v>
      </c>
      <c r="D84" s="42">
        <v>0</v>
      </c>
      <c r="E84" s="42">
        <v>0</v>
      </c>
      <c r="F84" s="42">
        <v>0</v>
      </c>
      <c r="G84" s="42">
        <v>38.261600000000001</v>
      </c>
      <c r="H84" s="42">
        <v>0</v>
      </c>
      <c r="I84" s="42">
        <v>0</v>
      </c>
      <c r="J84" s="42">
        <v>1096.1563799999999</v>
      </c>
      <c r="K84" s="42">
        <v>0</v>
      </c>
      <c r="L84" s="42">
        <v>0</v>
      </c>
      <c r="M84" s="42"/>
      <c r="N84" s="42"/>
      <c r="O84" s="42"/>
      <c r="P84" s="43">
        <f t="shared" si="6"/>
        <v>1134.4179799999999</v>
      </c>
    </row>
    <row r="85" spans="1:16" ht="12.75" customHeight="1" x14ac:dyDescent="0.25">
      <c r="A85" s="18" t="s">
        <v>168</v>
      </c>
      <c r="B85" s="4" t="s">
        <v>169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0</v>
      </c>
      <c r="M85" s="42"/>
      <c r="N85" s="42"/>
      <c r="O85" s="42"/>
      <c r="P85" s="43">
        <f t="shared" si="6"/>
        <v>0</v>
      </c>
    </row>
    <row r="86" spans="1:16" ht="12.75" customHeight="1" x14ac:dyDescent="0.25">
      <c r="A86" s="18" t="s">
        <v>170</v>
      </c>
      <c r="B86" s="4" t="s">
        <v>171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0</v>
      </c>
      <c r="J86" s="42">
        <v>22.231999999999999</v>
      </c>
      <c r="K86" s="42">
        <v>0</v>
      </c>
      <c r="L86" s="42">
        <v>0</v>
      </c>
      <c r="M86" s="42"/>
      <c r="N86" s="42"/>
      <c r="O86" s="42"/>
      <c r="P86" s="43">
        <f t="shared" si="6"/>
        <v>22.231999999999999</v>
      </c>
    </row>
    <row r="87" spans="1:16" ht="12.75" customHeight="1" x14ac:dyDescent="0.25">
      <c r="A87" s="18" t="s">
        <v>172</v>
      </c>
      <c r="B87" s="4" t="s">
        <v>173</v>
      </c>
      <c r="C87" s="42">
        <v>0</v>
      </c>
      <c r="D87" s="42">
        <v>0</v>
      </c>
      <c r="E87" s="42">
        <v>0</v>
      </c>
      <c r="F87" s="42">
        <v>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0</v>
      </c>
      <c r="M87" s="42"/>
      <c r="N87" s="42"/>
      <c r="O87" s="42"/>
      <c r="P87" s="43">
        <f t="shared" si="6"/>
        <v>0</v>
      </c>
    </row>
    <row r="88" spans="1:16" ht="12.75" customHeight="1" x14ac:dyDescent="0.25">
      <c r="A88" s="18" t="s">
        <v>174</v>
      </c>
      <c r="B88" s="4" t="s">
        <v>175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/>
      <c r="N88" s="42"/>
      <c r="O88" s="42"/>
      <c r="P88" s="43">
        <f t="shared" si="6"/>
        <v>0</v>
      </c>
    </row>
    <row r="89" spans="1:16" ht="12.75" customHeight="1" x14ac:dyDescent="0.25">
      <c r="A89" s="18" t="s">
        <v>176</v>
      </c>
      <c r="B89" s="4" t="s">
        <v>177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/>
      <c r="N89" s="42"/>
      <c r="O89" s="42"/>
      <c r="P89" s="43">
        <f t="shared" si="6"/>
        <v>0</v>
      </c>
    </row>
    <row r="90" spans="1:16" ht="12.75" customHeight="1" x14ac:dyDescent="0.25">
      <c r="A90" s="18" t="s">
        <v>178</v>
      </c>
      <c r="B90" s="4" t="s">
        <v>179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/>
      <c r="N90" s="42"/>
      <c r="O90" s="42"/>
      <c r="P90" s="43">
        <f t="shared" si="6"/>
        <v>0</v>
      </c>
    </row>
    <row r="91" spans="1:16" ht="12.75" customHeight="1" x14ac:dyDescent="0.25">
      <c r="A91" s="18" t="s">
        <v>180</v>
      </c>
      <c r="B91" s="4" t="s">
        <v>181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/>
      <c r="N91" s="42"/>
      <c r="O91" s="42"/>
      <c r="P91" s="43">
        <f t="shared" si="6"/>
        <v>0</v>
      </c>
    </row>
    <row r="92" spans="1:16" ht="12.75" customHeight="1" x14ac:dyDescent="0.25">
      <c r="A92" s="18">
        <v>2.5</v>
      </c>
      <c r="B92" s="4" t="s">
        <v>182</v>
      </c>
      <c r="C92" s="42">
        <v>0</v>
      </c>
      <c r="D92" s="42">
        <v>0</v>
      </c>
      <c r="E92" s="42">
        <v>0</v>
      </c>
      <c r="F92" s="42">
        <v>0</v>
      </c>
      <c r="G92" s="42">
        <v>0</v>
      </c>
      <c r="H92" s="42">
        <v>0</v>
      </c>
      <c r="I92" s="42">
        <v>0</v>
      </c>
      <c r="J92" s="42">
        <v>0</v>
      </c>
      <c r="K92" s="42">
        <v>0</v>
      </c>
      <c r="L92" s="42">
        <v>0</v>
      </c>
      <c r="M92" s="42"/>
      <c r="N92" s="42"/>
      <c r="O92" s="42"/>
      <c r="P92" s="43">
        <f t="shared" si="6"/>
        <v>0</v>
      </c>
    </row>
    <row r="93" spans="1:16" ht="12.75" customHeight="1" x14ac:dyDescent="0.25">
      <c r="A93" s="18">
        <v>2.6</v>
      </c>
      <c r="B93" s="4" t="s">
        <v>183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3"/>
    </row>
    <row r="94" spans="1:16" ht="12.75" customHeight="1" x14ac:dyDescent="0.25">
      <c r="A94" s="18" t="s">
        <v>184</v>
      </c>
      <c r="B94" s="4" t="s">
        <v>185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/>
      <c r="N94" s="42"/>
      <c r="O94" s="42"/>
      <c r="P94" s="43">
        <f t="shared" ref="P94:P99" si="7">SUM(C94:O94)</f>
        <v>0</v>
      </c>
    </row>
    <row r="95" spans="1:16" ht="12.75" customHeight="1" x14ac:dyDescent="0.25">
      <c r="A95" s="18" t="s">
        <v>186</v>
      </c>
      <c r="B95" s="4" t="s">
        <v>187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/>
      <c r="N95" s="42"/>
      <c r="O95" s="42"/>
      <c r="P95" s="43">
        <f t="shared" si="7"/>
        <v>0</v>
      </c>
    </row>
    <row r="96" spans="1:16" ht="12.75" customHeight="1" x14ac:dyDescent="0.25">
      <c r="A96" s="18">
        <v>2.7</v>
      </c>
      <c r="B96" s="4" t="s">
        <v>188</v>
      </c>
      <c r="C96" s="42">
        <v>0</v>
      </c>
      <c r="D96" s="42">
        <v>0</v>
      </c>
      <c r="E96" s="42">
        <v>0</v>
      </c>
      <c r="F96" s="42">
        <v>0</v>
      </c>
      <c r="G96" s="42">
        <v>0</v>
      </c>
      <c r="H96" s="42">
        <v>0</v>
      </c>
      <c r="I96" s="42">
        <v>0</v>
      </c>
      <c r="J96" s="42">
        <v>0</v>
      </c>
      <c r="K96" s="42">
        <v>0</v>
      </c>
      <c r="L96" s="42">
        <v>0</v>
      </c>
      <c r="M96" s="42"/>
      <c r="N96" s="42"/>
      <c r="O96" s="42"/>
      <c r="P96" s="43">
        <f t="shared" si="7"/>
        <v>0</v>
      </c>
    </row>
    <row r="97" spans="1:16" ht="12.75" customHeight="1" x14ac:dyDescent="0.25">
      <c r="A97" s="18">
        <v>2.8</v>
      </c>
      <c r="B97" s="4" t="s">
        <v>189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/>
      <c r="N97" s="42"/>
      <c r="O97" s="42"/>
      <c r="P97" s="43">
        <f t="shared" si="7"/>
        <v>0</v>
      </c>
    </row>
    <row r="98" spans="1:16" ht="12.75" customHeight="1" x14ac:dyDescent="0.25">
      <c r="A98" s="18">
        <v>2.9</v>
      </c>
      <c r="B98" s="4" t="s">
        <v>190</v>
      </c>
      <c r="C98" s="42">
        <v>3952.19868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/>
      <c r="N98" s="42"/>
      <c r="O98" s="42"/>
      <c r="P98" s="43">
        <f t="shared" si="7"/>
        <v>3952.19868</v>
      </c>
    </row>
    <row r="99" spans="1:16" ht="12.75" customHeight="1" x14ac:dyDescent="0.25">
      <c r="A99" s="18" t="s">
        <v>191</v>
      </c>
      <c r="B99" s="4" t="s">
        <v>192</v>
      </c>
      <c r="C99" s="42">
        <v>0</v>
      </c>
      <c r="D99" s="42">
        <v>0</v>
      </c>
      <c r="E99" s="42">
        <v>0</v>
      </c>
      <c r="F99" s="42">
        <v>0</v>
      </c>
      <c r="G99" s="42">
        <v>0</v>
      </c>
      <c r="H99" s="42">
        <v>0</v>
      </c>
      <c r="I99" s="42">
        <v>0</v>
      </c>
      <c r="J99" s="42">
        <v>0</v>
      </c>
      <c r="K99" s="42">
        <v>0</v>
      </c>
      <c r="L99" s="42">
        <v>0</v>
      </c>
      <c r="M99" s="42"/>
      <c r="N99" s="42"/>
      <c r="O99" s="42"/>
      <c r="P99" s="43">
        <f t="shared" si="7"/>
        <v>0</v>
      </c>
    </row>
    <row r="100" spans="1:16" ht="12.75" customHeight="1" x14ac:dyDescent="0.25">
      <c r="A100" s="18">
        <v>2.11</v>
      </c>
      <c r="B100" s="4" t="s">
        <v>193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3"/>
    </row>
    <row r="101" spans="1:16" ht="12.75" customHeight="1" x14ac:dyDescent="0.25">
      <c r="A101" s="18" t="s">
        <v>194</v>
      </c>
      <c r="B101" s="4" t="s">
        <v>195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/>
      <c r="N101" s="42"/>
      <c r="O101" s="42"/>
      <c r="P101" s="43">
        <f t="shared" ref="P101:P106" si="8">SUM(C101:O101)</f>
        <v>0</v>
      </c>
    </row>
    <row r="102" spans="1:16" ht="12.75" customHeight="1" x14ac:dyDescent="0.25">
      <c r="A102" s="18" t="s">
        <v>196</v>
      </c>
      <c r="B102" s="4" t="s">
        <v>197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/>
      <c r="N102" s="42"/>
      <c r="O102" s="42"/>
      <c r="P102" s="43">
        <f t="shared" si="8"/>
        <v>0</v>
      </c>
    </row>
    <row r="103" spans="1:16" ht="12.75" customHeight="1" x14ac:dyDescent="0.25">
      <c r="A103" s="18" t="s">
        <v>198</v>
      </c>
      <c r="B103" s="4" t="s">
        <v>199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/>
      <c r="N103" s="42"/>
      <c r="O103" s="42"/>
      <c r="P103" s="43">
        <f t="shared" si="8"/>
        <v>0</v>
      </c>
    </row>
    <row r="104" spans="1:16" ht="12.75" customHeight="1" x14ac:dyDescent="0.25">
      <c r="A104" s="18">
        <v>2.12</v>
      </c>
      <c r="B104" s="4" t="s">
        <v>200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/>
      <c r="N104" s="42"/>
      <c r="O104" s="42"/>
      <c r="P104" s="43">
        <f t="shared" si="8"/>
        <v>0</v>
      </c>
    </row>
    <row r="105" spans="1:16" ht="12.75" customHeight="1" x14ac:dyDescent="0.25">
      <c r="A105" s="18">
        <v>2.13</v>
      </c>
      <c r="B105" s="4" t="s">
        <v>201</v>
      </c>
      <c r="C105" s="42">
        <v>0</v>
      </c>
      <c r="D105" s="42">
        <v>0</v>
      </c>
      <c r="E105" s="42">
        <v>0</v>
      </c>
      <c r="F105" s="42">
        <v>0</v>
      </c>
      <c r="G105" s="42">
        <v>0</v>
      </c>
      <c r="H105" s="42">
        <v>0</v>
      </c>
      <c r="I105" s="42">
        <v>0</v>
      </c>
      <c r="J105" s="42">
        <v>0</v>
      </c>
      <c r="K105" s="42">
        <v>0</v>
      </c>
      <c r="L105" s="42">
        <v>0</v>
      </c>
      <c r="M105" s="42"/>
      <c r="N105" s="42"/>
      <c r="O105" s="42"/>
      <c r="P105" s="43">
        <f t="shared" si="8"/>
        <v>0</v>
      </c>
    </row>
    <row r="106" spans="1:16" ht="12.75" customHeight="1" x14ac:dyDescent="0.25">
      <c r="A106" s="19">
        <v>2.14</v>
      </c>
      <c r="B106" s="5" t="s">
        <v>202</v>
      </c>
      <c r="C106" s="44">
        <v>0</v>
      </c>
      <c r="D106" s="44">
        <v>0</v>
      </c>
      <c r="E106" s="44">
        <v>0</v>
      </c>
      <c r="F106" s="44">
        <v>0</v>
      </c>
      <c r="G106" s="44">
        <v>0</v>
      </c>
      <c r="H106" s="44">
        <v>0</v>
      </c>
      <c r="I106" s="44">
        <v>0</v>
      </c>
      <c r="J106" s="44">
        <v>0</v>
      </c>
      <c r="K106" s="44">
        <v>0</v>
      </c>
      <c r="L106" s="44">
        <v>0</v>
      </c>
      <c r="M106" s="44"/>
      <c r="N106" s="44"/>
      <c r="O106" s="44"/>
      <c r="P106" s="45">
        <f t="shared" si="8"/>
        <v>0</v>
      </c>
    </row>
    <row r="107" spans="1:16" ht="12.75" customHeight="1" x14ac:dyDescent="0.25">
      <c r="A107" s="20"/>
      <c r="B107" s="15" t="s">
        <v>203</v>
      </c>
      <c r="C107" s="46">
        <f t="shared" ref="C107:P107" si="9">SUM(C38:C106)</f>
        <v>5438.2491799999998</v>
      </c>
      <c r="D107" s="46">
        <f t="shared" si="9"/>
        <v>5564.8645099999994</v>
      </c>
      <c r="E107" s="46">
        <f t="shared" si="9"/>
        <v>9204.0279900000005</v>
      </c>
      <c r="F107" s="46">
        <f t="shared" si="9"/>
        <v>20158.762300000002</v>
      </c>
      <c r="G107" s="46">
        <f t="shared" si="9"/>
        <v>8578.3021599999993</v>
      </c>
      <c r="H107" s="46">
        <f t="shared" si="9"/>
        <v>2747.5225600000003</v>
      </c>
      <c r="I107" s="46">
        <f t="shared" si="9"/>
        <v>2309.6658299999999</v>
      </c>
      <c r="J107" s="46">
        <f t="shared" si="9"/>
        <v>32001.862939999999</v>
      </c>
      <c r="K107" s="46">
        <f t="shared" si="9"/>
        <v>9727.0615600000001</v>
      </c>
      <c r="L107" s="46">
        <f t="shared" si="9"/>
        <v>2450.3867599999999</v>
      </c>
      <c r="M107" s="46">
        <f t="shared" si="9"/>
        <v>0</v>
      </c>
      <c r="N107" s="46">
        <f t="shared" si="9"/>
        <v>0</v>
      </c>
      <c r="O107" s="46">
        <f t="shared" si="9"/>
        <v>0</v>
      </c>
      <c r="P107" s="47">
        <f t="shared" si="9"/>
        <v>98180.705789999993</v>
      </c>
    </row>
    <row r="108" spans="1:16" ht="12.75" customHeight="1" x14ac:dyDescent="0.25">
      <c r="A108" s="18"/>
      <c r="B108" s="4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3"/>
    </row>
    <row r="109" spans="1:16" ht="12.75" customHeight="1" x14ac:dyDescent="0.25">
      <c r="A109" s="21">
        <v>3</v>
      </c>
      <c r="B109" s="6" t="s">
        <v>204</v>
      </c>
      <c r="C109" s="48">
        <f t="shared" ref="C109:L109" si="10">C36-C107</f>
        <v>11251.750820000001</v>
      </c>
      <c r="D109" s="48">
        <f t="shared" si="10"/>
        <v>-4276.8645099999994</v>
      </c>
      <c r="E109" s="48">
        <f t="shared" si="10"/>
        <v>-604.0279900000005</v>
      </c>
      <c r="F109" s="48">
        <f t="shared" si="10"/>
        <v>-961.76230000000214</v>
      </c>
      <c r="G109" s="48">
        <f t="shared" si="10"/>
        <v>347.69784000000072</v>
      </c>
      <c r="H109" s="48">
        <f t="shared" si="10"/>
        <v>13071.477439999999</v>
      </c>
      <c r="I109" s="48">
        <f t="shared" si="10"/>
        <v>10843.33417</v>
      </c>
      <c r="J109" s="48">
        <f t="shared" si="10"/>
        <v>-15958.862939999999</v>
      </c>
      <c r="K109" s="48">
        <f t="shared" si="10"/>
        <v>4689.9384399999999</v>
      </c>
      <c r="L109" s="48">
        <f t="shared" si="10"/>
        <v>15913.613240000001</v>
      </c>
      <c r="M109" s="48"/>
      <c r="N109" s="48"/>
      <c r="O109" s="48"/>
      <c r="P109" s="49">
        <f>P36-P107</f>
        <v>34316.294210000007</v>
      </c>
    </row>
    <row r="110" spans="1:16" ht="12.75" customHeight="1" x14ac:dyDescent="0.25">
      <c r="A110" s="18"/>
      <c r="B110" s="4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3"/>
    </row>
    <row r="111" spans="1:16" ht="12.75" customHeight="1" x14ac:dyDescent="0.25">
      <c r="A111" s="18">
        <v>4</v>
      </c>
      <c r="B111" s="4" t="s">
        <v>205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3"/>
    </row>
    <row r="112" spans="1:16" ht="12.75" customHeight="1" x14ac:dyDescent="0.25">
      <c r="A112" s="18"/>
      <c r="B112" s="4" t="s">
        <v>206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3"/>
    </row>
    <row r="113" spans="1:16" ht="12.75" customHeight="1" x14ac:dyDescent="0.25">
      <c r="A113" s="18">
        <v>2.1</v>
      </c>
      <c r="B113" s="4" t="s">
        <v>80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3"/>
    </row>
    <row r="114" spans="1:16" ht="12.75" customHeight="1" x14ac:dyDescent="0.25">
      <c r="A114" s="18" t="s">
        <v>93</v>
      </c>
      <c r="B114" s="4" t="s">
        <v>207</v>
      </c>
      <c r="C114" s="42">
        <f t="shared" ref="C114:L114" si="11">C46*-1</f>
        <v>0</v>
      </c>
      <c r="D114" s="42">
        <f t="shared" si="11"/>
        <v>0</v>
      </c>
      <c r="E114" s="42">
        <f t="shared" si="11"/>
        <v>0</v>
      </c>
      <c r="F114" s="42">
        <f t="shared" si="11"/>
        <v>0</v>
      </c>
      <c r="G114" s="42">
        <f t="shared" si="11"/>
        <v>0</v>
      </c>
      <c r="H114" s="42">
        <f t="shared" si="11"/>
        <v>0</v>
      </c>
      <c r="I114" s="42">
        <f t="shared" si="11"/>
        <v>0</v>
      </c>
      <c r="J114" s="42">
        <f t="shared" si="11"/>
        <v>0</v>
      </c>
      <c r="K114" s="42">
        <f t="shared" si="11"/>
        <v>0</v>
      </c>
      <c r="L114" s="42">
        <f t="shared" si="11"/>
        <v>0</v>
      </c>
      <c r="M114" s="42"/>
      <c r="N114" s="42"/>
      <c r="O114" s="42"/>
      <c r="P114" s="43">
        <f>P46*-1</f>
        <v>0</v>
      </c>
    </row>
    <row r="115" spans="1:16" ht="12.75" customHeight="1" x14ac:dyDescent="0.25">
      <c r="A115" s="18">
        <v>2.2999999999999998</v>
      </c>
      <c r="B115" s="4" t="s">
        <v>144</v>
      </c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3"/>
    </row>
    <row r="116" spans="1:16" ht="12.75" customHeight="1" x14ac:dyDescent="0.25">
      <c r="A116" s="18" t="s">
        <v>157</v>
      </c>
      <c r="B116" s="4" t="s">
        <v>208</v>
      </c>
      <c r="C116" s="42">
        <f t="shared" ref="C116:L116" si="12">C79*-1</f>
        <v>0</v>
      </c>
      <c r="D116" s="42">
        <f t="shared" si="12"/>
        <v>0</v>
      </c>
      <c r="E116" s="42">
        <f t="shared" si="12"/>
        <v>0</v>
      </c>
      <c r="F116" s="42">
        <f t="shared" si="12"/>
        <v>0</v>
      </c>
      <c r="G116" s="42">
        <f t="shared" si="12"/>
        <v>0</v>
      </c>
      <c r="H116" s="42">
        <f t="shared" si="12"/>
        <v>0</v>
      </c>
      <c r="I116" s="42">
        <f t="shared" si="12"/>
        <v>0</v>
      </c>
      <c r="J116" s="42">
        <f t="shared" si="12"/>
        <v>0</v>
      </c>
      <c r="K116" s="42">
        <f t="shared" si="12"/>
        <v>0</v>
      </c>
      <c r="L116" s="42">
        <f t="shared" si="12"/>
        <v>0</v>
      </c>
      <c r="M116" s="42"/>
      <c r="N116" s="42"/>
      <c r="O116" s="42"/>
      <c r="P116" s="43">
        <f>P79*-1</f>
        <v>0</v>
      </c>
    </row>
    <row r="117" spans="1:16" ht="12.75" customHeight="1" x14ac:dyDescent="0.25">
      <c r="A117" s="18"/>
      <c r="B117" s="4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3"/>
    </row>
    <row r="118" spans="1:16" ht="12.75" customHeight="1" x14ac:dyDescent="0.25">
      <c r="A118" s="19">
        <v>4.0999999999999996</v>
      </c>
      <c r="B118" s="5" t="s">
        <v>209</v>
      </c>
      <c r="C118" s="44">
        <v>-80.069762159999996</v>
      </c>
      <c r="D118" s="44">
        <v>-42.074622840000004</v>
      </c>
      <c r="E118" s="44">
        <v>-41.711723939999999</v>
      </c>
      <c r="F118" s="44">
        <v>-69.993205000000003</v>
      </c>
      <c r="G118" s="44">
        <v>-100.17142927</v>
      </c>
      <c r="H118" s="44">
        <v>-120.38574622</v>
      </c>
      <c r="I118" s="44">
        <v>-140.65447545999999</v>
      </c>
      <c r="J118" s="44">
        <v>-153.61392907999999</v>
      </c>
      <c r="K118" s="44">
        <v>-183.96495499</v>
      </c>
      <c r="L118" s="44">
        <v>-213.52636261000001</v>
      </c>
      <c r="M118" s="44"/>
      <c r="N118" s="44"/>
      <c r="O118" s="44"/>
      <c r="P118" s="45">
        <f>SUM(C118:O118)</f>
        <v>-1146.1662115699999</v>
      </c>
    </row>
    <row r="119" spans="1:16" ht="12.75" customHeight="1" x14ac:dyDescent="0.25">
      <c r="A119" s="20">
        <v>4.3</v>
      </c>
      <c r="B119" s="15" t="s">
        <v>210</v>
      </c>
      <c r="C119" s="46">
        <f t="shared" ref="C119:P119" si="13">SUM(C111:C118)</f>
        <v>-80.069762159999996</v>
      </c>
      <c r="D119" s="46">
        <f t="shared" si="13"/>
        <v>-42.074622840000004</v>
      </c>
      <c r="E119" s="46">
        <f t="shared" si="13"/>
        <v>-41.711723939999999</v>
      </c>
      <c r="F119" s="46">
        <f t="shared" si="13"/>
        <v>-69.993205000000003</v>
      </c>
      <c r="G119" s="46">
        <f t="shared" si="13"/>
        <v>-100.17142927</v>
      </c>
      <c r="H119" s="46">
        <f t="shared" si="13"/>
        <v>-120.38574622</v>
      </c>
      <c r="I119" s="46">
        <f t="shared" si="13"/>
        <v>-140.65447545999999</v>
      </c>
      <c r="J119" s="46">
        <f t="shared" si="13"/>
        <v>-153.61392907999999</v>
      </c>
      <c r="K119" s="46">
        <f t="shared" si="13"/>
        <v>-183.96495499</v>
      </c>
      <c r="L119" s="46">
        <f t="shared" si="13"/>
        <v>-213.52636261000001</v>
      </c>
      <c r="M119" s="46">
        <f t="shared" si="13"/>
        <v>0</v>
      </c>
      <c r="N119" s="46">
        <f t="shared" si="13"/>
        <v>0</v>
      </c>
      <c r="O119" s="46">
        <f t="shared" si="13"/>
        <v>0</v>
      </c>
      <c r="P119" s="47">
        <f t="shared" si="13"/>
        <v>-1146.1662115699999</v>
      </c>
    </row>
    <row r="120" spans="1:16" ht="12.75" customHeight="1" x14ac:dyDescent="0.25">
      <c r="A120" s="18"/>
      <c r="B120" s="4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3"/>
    </row>
    <row r="121" spans="1:16" ht="12.75" customHeight="1" x14ac:dyDescent="0.25">
      <c r="A121" s="21">
        <v>5</v>
      </c>
      <c r="B121" s="6" t="s">
        <v>211</v>
      </c>
      <c r="C121" s="48">
        <f t="shared" ref="C121:L121" si="14">C109-C119</f>
        <v>11331.82058216</v>
      </c>
      <c r="D121" s="48">
        <f t="shared" si="14"/>
        <v>-4234.7898871599991</v>
      </c>
      <c r="E121" s="48">
        <f t="shared" si="14"/>
        <v>-562.31626606000054</v>
      </c>
      <c r="F121" s="48">
        <f t="shared" si="14"/>
        <v>-891.76909500000215</v>
      </c>
      <c r="G121" s="48">
        <f t="shared" si="14"/>
        <v>447.8692692700007</v>
      </c>
      <c r="H121" s="48">
        <f t="shared" si="14"/>
        <v>13191.863186219998</v>
      </c>
      <c r="I121" s="48">
        <f t="shared" si="14"/>
        <v>10983.98864546</v>
      </c>
      <c r="J121" s="48">
        <f t="shared" si="14"/>
        <v>-15805.249010919999</v>
      </c>
      <c r="K121" s="48">
        <f t="shared" si="14"/>
        <v>4873.9033949899995</v>
      </c>
      <c r="L121" s="48">
        <f t="shared" si="14"/>
        <v>16127.139602610001</v>
      </c>
      <c r="M121" s="48"/>
      <c r="N121" s="48"/>
      <c r="O121" s="48"/>
      <c r="P121" s="49">
        <f>P109-P119</f>
        <v>35462.460421570009</v>
      </c>
    </row>
    <row r="122" spans="1:16" ht="12.75" customHeight="1" x14ac:dyDescent="0.25">
      <c r="A122" s="18"/>
      <c r="B122" s="4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3"/>
    </row>
    <row r="123" spans="1:16" ht="12.75" customHeight="1" x14ac:dyDescent="0.25">
      <c r="A123" s="18">
        <v>6</v>
      </c>
      <c r="B123" s="4" t="s">
        <v>212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3"/>
    </row>
    <row r="124" spans="1:16" ht="12.75" hidden="1" customHeight="1" x14ac:dyDescent="0.25">
      <c r="A124" s="18">
        <v>6.1</v>
      </c>
      <c r="B124" s="4" t="s">
        <v>213</v>
      </c>
      <c r="C124" s="42">
        <v>0</v>
      </c>
      <c r="D124" s="42">
        <v>0</v>
      </c>
      <c r="E124" s="42">
        <v>0</v>
      </c>
      <c r="F124" s="42">
        <v>0</v>
      </c>
      <c r="G124" s="42">
        <v>0.06</v>
      </c>
      <c r="H124" s="42">
        <v>0.06</v>
      </c>
      <c r="I124" s="42">
        <v>0.06</v>
      </c>
      <c r="J124" s="42">
        <v>0.06</v>
      </c>
      <c r="K124" s="42">
        <v>0.06</v>
      </c>
      <c r="L124" s="42">
        <v>0.06</v>
      </c>
      <c r="M124" s="42"/>
      <c r="N124" s="42"/>
      <c r="O124" s="42"/>
      <c r="P124" s="43"/>
    </row>
    <row r="125" spans="1:16" ht="12.75" customHeight="1" x14ac:dyDescent="0.25">
      <c r="A125" s="18" t="s">
        <v>214</v>
      </c>
      <c r="B125" s="4" t="s">
        <v>215</v>
      </c>
      <c r="C125" s="42">
        <f t="shared" ref="C125:L125" si="15">(C36-C18-C20-C33)*C124</f>
        <v>0</v>
      </c>
      <c r="D125" s="42">
        <f t="shared" si="15"/>
        <v>0</v>
      </c>
      <c r="E125" s="42">
        <f t="shared" si="15"/>
        <v>0</v>
      </c>
      <c r="F125" s="42">
        <f t="shared" si="15"/>
        <v>0</v>
      </c>
      <c r="G125" s="42">
        <f t="shared" si="15"/>
        <v>529.55999999999995</v>
      </c>
      <c r="H125" s="42">
        <f t="shared" si="15"/>
        <v>947.57999999999993</v>
      </c>
      <c r="I125" s="42">
        <f t="shared" si="15"/>
        <v>787.68</v>
      </c>
      <c r="J125" s="42">
        <f t="shared" si="15"/>
        <v>961.07999999999993</v>
      </c>
      <c r="K125" s="42">
        <f t="shared" si="15"/>
        <v>863.45999999999992</v>
      </c>
      <c r="L125" s="42">
        <f t="shared" si="15"/>
        <v>1100.3399999999999</v>
      </c>
      <c r="M125" s="42"/>
      <c r="N125" s="42"/>
      <c r="O125" s="42"/>
      <c r="P125" s="43">
        <f>SUM(C125:O125)</f>
        <v>5189.7</v>
      </c>
    </row>
    <row r="126" spans="1:16" ht="12.75" customHeight="1" x14ac:dyDescent="0.25">
      <c r="A126" s="18" t="s">
        <v>216</v>
      </c>
      <c r="B126" s="4" t="s">
        <v>217</v>
      </c>
      <c r="C126" s="42">
        <f t="shared" ref="C126:L126" si="16">(C36-C18-C20-C33)*0</f>
        <v>0</v>
      </c>
      <c r="D126" s="42">
        <f t="shared" si="16"/>
        <v>0</v>
      </c>
      <c r="E126" s="42">
        <f t="shared" si="16"/>
        <v>0</v>
      </c>
      <c r="F126" s="42">
        <f t="shared" si="16"/>
        <v>0</v>
      </c>
      <c r="G126" s="42">
        <f t="shared" si="16"/>
        <v>0</v>
      </c>
      <c r="H126" s="42">
        <f t="shared" si="16"/>
        <v>0</v>
      </c>
      <c r="I126" s="42">
        <f t="shared" si="16"/>
        <v>0</v>
      </c>
      <c r="J126" s="42">
        <f t="shared" si="16"/>
        <v>0</v>
      </c>
      <c r="K126" s="42">
        <f t="shared" si="16"/>
        <v>0</v>
      </c>
      <c r="L126" s="42">
        <f t="shared" si="16"/>
        <v>0</v>
      </c>
      <c r="M126" s="42"/>
      <c r="N126" s="42"/>
      <c r="O126" s="42"/>
      <c r="P126" s="43">
        <f>(P36-P18-P20-P33)*0</f>
        <v>0</v>
      </c>
    </row>
    <row r="127" spans="1:16" ht="12.75" customHeight="1" x14ac:dyDescent="0.25">
      <c r="A127" s="18">
        <v>6.2</v>
      </c>
      <c r="B127" s="4" t="s">
        <v>218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3"/>
    </row>
    <row r="128" spans="1:16" ht="12.75" customHeight="1" x14ac:dyDescent="0.25">
      <c r="A128" s="18"/>
      <c r="B128" s="4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3"/>
    </row>
    <row r="129" spans="1:16" ht="12.75" customHeight="1" x14ac:dyDescent="0.25">
      <c r="A129" s="22">
        <v>7</v>
      </c>
      <c r="B129" s="13" t="s">
        <v>219</v>
      </c>
      <c r="C129" s="50">
        <f t="shared" ref="C129:L129" si="17">C121-SUM(C125:C126)+IF(ISBLANK(C127), 0, C127)</f>
        <v>11331.82058216</v>
      </c>
      <c r="D129" s="50">
        <f t="shared" si="17"/>
        <v>-4234.7898871599991</v>
      </c>
      <c r="E129" s="50">
        <f t="shared" si="17"/>
        <v>-562.31626606000054</v>
      </c>
      <c r="F129" s="50">
        <f t="shared" si="17"/>
        <v>-891.76909500000215</v>
      </c>
      <c r="G129" s="50">
        <f t="shared" si="17"/>
        <v>-81.690730729999245</v>
      </c>
      <c r="H129" s="50">
        <f t="shared" si="17"/>
        <v>12244.283186219998</v>
      </c>
      <c r="I129" s="50">
        <f t="shared" si="17"/>
        <v>10196.30864546</v>
      </c>
      <c r="J129" s="50">
        <f t="shared" si="17"/>
        <v>-16766.329010919999</v>
      </c>
      <c r="K129" s="50">
        <f t="shared" si="17"/>
        <v>4010.4433949899994</v>
      </c>
      <c r="L129" s="50">
        <f t="shared" si="17"/>
        <v>15026.799602610001</v>
      </c>
      <c r="M129" s="50"/>
      <c r="N129" s="50"/>
      <c r="O129" s="50"/>
      <c r="P129" s="51">
        <f>P121-SUM(P125:P126)+IF(ISBLANK(P127), 0, P127)</f>
        <v>30272.760421570008</v>
      </c>
    </row>
    <row r="130" spans="1:16" ht="12.75" customHeight="1" x14ac:dyDescent="0.25">
      <c r="A130" s="23"/>
      <c r="B130" s="12" t="s">
        <v>220</v>
      </c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3"/>
    </row>
  </sheetData>
  <sheetProtection formatCells="0" formatColumns="0" formatRows="0" insertColumns="0" insertRows="0" insertHyperlinks="0" deleteColumns="0" deleteRows="0" sort="0" autoFilter="0" pivotTables="0"/>
  <mergeCells count="3">
    <mergeCell ref="G6:I7"/>
    <mergeCell ref="G11:I11"/>
    <mergeCell ref="O7:P8"/>
  </mergeCells>
  <phoneticPr fontId="6" type="noConversion"/>
  <printOptions horizontalCentered="1"/>
  <pageMargins left="3.9370078740157001E-2" right="3.9370078740157001E-2" top="0.23622047244093999" bottom="7.8740157480315001E-2" header="7.8740157480315001E-2" footer="7.8740157480315001E-2"/>
  <pageSetup paperSize="9" scale="55" fitToHeight="0" orientation="landscape" r:id="rId1"/>
  <headerFooter>
    <oddHeader>&amp;R&amp;"Times New Roman,Bold"&amp;10Page No.: &amp;P of &amp;N &amp;K00+000*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130"/>
  <sheetViews>
    <sheetView topLeftCell="A57" workbookViewId="0">
      <selection activeCell="L83" sqref="L83"/>
    </sheetView>
  </sheetViews>
  <sheetFormatPr defaultColWidth="14.28515625" defaultRowHeight="12.75" customHeight="1" x14ac:dyDescent="0.25"/>
  <cols>
    <col min="1" max="1" width="19.42578125" style="1" customWidth="1"/>
    <col min="2" max="2" width="42.85546875" style="1" customWidth="1"/>
    <col min="3" max="3" width="14.28515625" style="1"/>
  </cols>
  <sheetData>
    <row r="1" spans="1:16" ht="12.75" customHeight="1" x14ac:dyDescent="0.25">
      <c r="A1" s="2" t="s">
        <v>0</v>
      </c>
      <c r="B1" s="14"/>
      <c r="C1" s="2"/>
      <c r="P1" s="1"/>
    </row>
    <row r="2" spans="1:16" ht="12.75" customHeight="1" x14ac:dyDescent="0.25">
      <c r="A2" s="2"/>
      <c r="B2" s="14"/>
      <c r="C2" s="2"/>
      <c r="P2" s="58" t="s">
        <v>1</v>
      </c>
    </row>
    <row r="3" spans="1:16" ht="12.75" customHeight="1" x14ac:dyDescent="0.25">
      <c r="A3" s="2" t="s">
        <v>2</v>
      </c>
      <c r="B3" s="14">
        <v>1130</v>
      </c>
      <c r="C3" s="2"/>
      <c r="P3" s="1"/>
    </row>
    <row r="4" spans="1:16" ht="12.75" customHeight="1" x14ac:dyDescent="0.25">
      <c r="A4" s="2" t="s">
        <v>3</v>
      </c>
      <c r="B4" s="14" t="s">
        <v>4</v>
      </c>
      <c r="C4" s="2"/>
      <c r="P4" s="1"/>
    </row>
    <row r="5" spans="1:16" ht="12.75" customHeight="1" x14ac:dyDescent="0.25">
      <c r="A5" s="2" t="s">
        <v>5</v>
      </c>
      <c r="B5" s="14" t="s">
        <v>6</v>
      </c>
      <c r="C5" s="2"/>
      <c r="P5" s="1"/>
    </row>
    <row r="6" spans="1:16" ht="12.75" customHeight="1" x14ac:dyDescent="0.25">
      <c r="A6" s="2" t="s">
        <v>7</v>
      </c>
      <c r="B6" s="14" t="s">
        <v>8</v>
      </c>
      <c r="C6" s="2"/>
      <c r="G6" s="59" t="s">
        <v>9</v>
      </c>
      <c r="H6" s="59"/>
      <c r="I6" s="59"/>
      <c r="P6" s="1"/>
    </row>
    <row r="7" spans="1:16" ht="12.75" customHeight="1" x14ac:dyDescent="0.25">
      <c r="A7" s="2" t="s">
        <v>10</v>
      </c>
      <c r="B7" s="14" t="s">
        <v>11</v>
      </c>
      <c r="C7" s="57">
        <f>IFERROR((B5-B6)/(LEFT(B7, FIND(REPT(" ", 32), B7))-B6), "")</f>
        <v>0.22442653440793553</v>
      </c>
      <c r="G7" s="59"/>
      <c r="H7" s="59"/>
      <c r="I7" s="59"/>
      <c r="O7" s="67" t="s">
        <v>12</v>
      </c>
      <c r="P7" s="67"/>
    </row>
    <row r="8" spans="1:16" ht="12.75" customHeight="1" x14ac:dyDescent="0.25">
      <c r="A8" s="2" t="s">
        <v>13</v>
      </c>
      <c r="B8" s="14" t="s">
        <v>14</v>
      </c>
      <c r="C8" s="57" t="str">
        <f>IFERROR((B5-B6)/(LEFT(B8, FIND(REPT(" ", 32), B8))-B6), "")</f>
        <v/>
      </c>
      <c r="O8" s="67"/>
      <c r="P8" s="67"/>
    </row>
    <row r="9" spans="1:16" ht="12.75" customHeight="1" x14ac:dyDescent="0.25">
      <c r="B9" s="56"/>
      <c r="P9" s="1"/>
    </row>
    <row r="11" spans="1:16" ht="25.5" customHeight="1" x14ac:dyDescent="0.25">
      <c r="A11" s="8" t="s">
        <v>15</v>
      </c>
      <c r="B11" s="9"/>
      <c r="C11" s="9"/>
      <c r="D11" s="9"/>
      <c r="E11" s="9"/>
      <c r="F11" s="9"/>
      <c r="G11" s="66" t="s">
        <v>26</v>
      </c>
      <c r="H11" s="66"/>
      <c r="I11" s="66"/>
      <c r="J11" s="9"/>
      <c r="K11" s="9"/>
      <c r="L11" s="9"/>
      <c r="M11" s="9"/>
      <c r="N11" s="9"/>
      <c r="O11" s="9"/>
      <c r="P11" s="10"/>
    </row>
    <row r="12" spans="1:16" ht="12.75" customHeight="1" x14ac:dyDescent="0.2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ht="12.75" customHeight="1" x14ac:dyDescent="0.25">
      <c r="A13" s="17">
        <v>1</v>
      </c>
      <c r="B13" s="3" t="s">
        <v>49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5"/>
    </row>
    <row r="14" spans="1:16" ht="12.75" customHeight="1" x14ac:dyDescent="0.25">
      <c r="A14" s="18">
        <v>1.1000000000000001</v>
      </c>
      <c r="B14" s="4" t="s">
        <v>50</v>
      </c>
      <c r="C14" s="42">
        <v>0</v>
      </c>
      <c r="D14" s="42">
        <v>4090.44</v>
      </c>
      <c r="E14" s="42">
        <v>1287.03</v>
      </c>
      <c r="F14" s="42">
        <v>8600.14</v>
      </c>
      <c r="G14" s="42">
        <v>19197.8</v>
      </c>
      <c r="H14" s="42">
        <v>8925.8700000000008</v>
      </c>
      <c r="I14" s="42">
        <v>15818.72</v>
      </c>
      <c r="J14" s="42">
        <v>13153.14</v>
      </c>
      <c r="K14" s="42">
        <v>16043.0335</v>
      </c>
      <c r="L14" s="42">
        <v>14416.3531</v>
      </c>
      <c r="M14" s="42"/>
      <c r="N14" s="42"/>
      <c r="O14" s="42"/>
      <c r="P14" s="43">
        <f>SUM(C14:O14)</f>
        <v>101532.52660000001</v>
      </c>
    </row>
    <row r="15" spans="1:16" ht="12.75" customHeight="1" x14ac:dyDescent="0.25">
      <c r="A15" s="18">
        <v>1.2</v>
      </c>
      <c r="B15" s="4" t="s">
        <v>51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3"/>
    </row>
    <row r="16" spans="1:16" ht="12.75" customHeight="1" x14ac:dyDescent="0.25">
      <c r="A16" s="18" t="s">
        <v>52</v>
      </c>
      <c r="B16" s="4" t="s">
        <v>53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/>
      <c r="N16" s="42"/>
      <c r="O16" s="42"/>
      <c r="P16" s="43">
        <f t="shared" ref="P16:P26" si="0">SUM(C16:O16)</f>
        <v>0</v>
      </c>
    </row>
    <row r="17" spans="1:16" ht="12.75" customHeight="1" x14ac:dyDescent="0.25">
      <c r="A17" s="18" t="s">
        <v>54</v>
      </c>
      <c r="B17" s="4" t="s">
        <v>55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/>
      <c r="N17" s="42"/>
      <c r="O17" s="42"/>
      <c r="P17" s="43">
        <f t="shared" si="0"/>
        <v>0</v>
      </c>
    </row>
    <row r="18" spans="1:16" ht="12.75" customHeight="1" x14ac:dyDescent="0.25">
      <c r="A18" s="18">
        <v>1.3</v>
      </c>
      <c r="B18" s="4" t="s">
        <v>56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/>
      <c r="N18" s="42"/>
      <c r="O18" s="42"/>
      <c r="P18" s="43">
        <f t="shared" si="0"/>
        <v>0</v>
      </c>
    </row>
    <row r="19" spans="1:16" ht="12.75" customHeight="1" x14ac:dyDescent="0.25">
      <c r="A19" s="18">
        <v>1.4</v>
      </c>
      <c r="B19" s="4" t="s">
        <v>57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/>
      <c r="N19" s="42"/>
      <c r="O19" s="42"/>
      <c r="P19" s="43">
        <f t="shared" si="0"/>
        <v>0</v>
      </c>
    </row>
    <row r="20" spans="1:16" ht="12.75" customHeight="1" x14ac:dyDescent="0.25">
      <c r="A20" s="18">
        <v>1.5</v>
      </c>
      <c r="B20" s="4" t="s">
        <v>58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/>
      <c r="N20" s="42"/>
      <c r="O20" s="42"/>
      <c r="P20" s="43">
        <f t="shared" si="0"/>
        <v>0</v>
      </c>
    </row>
    <row r="21" spans="1:16" ht="12.75" customHeight="1" x14ac:dyDescent="0.25">
      <c r="A21" s="18">
        <v>1.6</v>
      </c>
      <c r="B21" s="4" t="s">
        <v>59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/>
      <c r="N21" s="42"/>
      <c r="O21" s="42"/>
      <c r="P21" s="43">
        <f t="shared" si="0"/>
        <v>0</v>
      </c>
    </row>
    <row r="22" spans="1:16" ht="12.75" customHeight="1" x14ac:dyDescent="0.25">
      <c r="A22" s="18">
        <v>1.7</v>
      </c>
      <c r="B22" s="4" t="s">
        <v>60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/>
      <c r="N22" s="42"/>
      <c r="O22" s="42"/>
      <c r="P22" s="43">
        <f t="shared" si="0"/>
        <v>0</v>
      </c>
    </row>
    <row r="23" spans="1:16" ht="12.75" customHeight="1" x14ac:dyDescent="0.25">
      <c r="A23" s="18">
        <v>1.8</v>
      </c>
      <c r="B23" s="4" t="s">
        <v>61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/>
      <c r="N23" s="42"/>
      <c r="O23" s="42"/>
      <c r="P23" s="43">
        <f t="shared" si="0"/>
        <v>0</v>
      </c>
    </row>
    <row r="24" spans="1:16" ht="12.75" customHeight="1" x14ac:dyDescent="0.25">
      <c r="A24" s="18">
        <v>1.9</v>
      </c>
      <c r="B24" s="4" t="s">
        <v>62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/>
      <c r="N24" s="42"/>
      <c r="O24" s="42"/>
      <c r="P24" s="43">
        <f t="shared" si="0"/>
        <v>0</v>
      </c>
    </row>
    <row r="25" spans="1:16" ht="12.75" customHeight="1" x14ac:dyDescent="0.25">
      <c r="A25" s="18" t="s">
        <v>63</v>
      </c>
      <c r="B25" s="4" t="s">
        <v>64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/>
      <c r="N25" s="42"/>
      <c r="O25" s="42"/>
      <c r="P25" s="43">
        <f t="shared" si="0"/>
        <v>0</v>
      </c>
    </row>
    <row r="26" spans="1:16" ht="12.75" customHeight="1" x14ac:dyDescent="0.25">
      <c r="A26" s="18">
        <v>1.1100000000000001</v>
      </c>
      <c r="B26" s="4" t="s">
        <v>65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/>
      <c r="N26" s="42"/>
      <c r="O26" s="42"/>
      <c r="P26" s="43">
        <f t="shared" si="0"/>
        <v>0</v>
      </c>
    </row>
    <row r="27" spans="1:16" ht="12.75" customHeight="1" x14ac:dyDescent="0.25">
      <c r="A27" s="18">
        <v>1.1200000000000001</v>
      </c>
      <c r="B27" s="4" t="s">
        <v>66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3"/>
    </row>
    <row r="28" spans="1:16" ht="12.75" customHeight="1" x14ac:dyDescent="0.25">
      <c r="A28" s="18" t="s">
        <v>67</v>
      </c>
      <c r="B28" s="4" t="s">
        <v>68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/>
      <c r="N28" s="42"/>
      <c r="O28" s="42"/>
      <c r="P28" s="43">
        <f t="shared" ref="P28:P35" si="1">SUM(C28:O28)</f>
        <v>0</v>
      </c>
    </row>
    <row r="29" spans="1:16" ht="12.75" customHeight="1" x14ac:dyDescent="0.25">
      <c r="A29" s="18" t="s">
        <v>69</v>
      </c>
      <c r="B29" s="4" t="s">
        <v>70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/>
      <c r="N29" s="42"/>
      <c r="O29" s="42"/>
      <c r="P29" s="43">
        <f t="shared" si="1"/>
        <v>0</v>
      </c>
    </row>
    <row r="30" spans="1:16" ht="12.75" customHeight="1" x14ac:dyDescent="0.25">
      <c r="A30" s="18" t="s">
        <v>71</v>
      </c>
      <c r="B30" s="4" t="s">
        <v>72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/>
      <c r="N30" s="42"/>
      <c r="O30" s="42"/>
      <c r="P30" s="43">
        <f t="shared" si="1"/>
        <v>0</v>
      </c>
    </row>
    <row r="31" spans="1:16" ht="12.75" customHeight="1" x14ac:dyDescent="0.25">
      <c r="A31" s="18">
        <v>1.1299999999999999</v>
      </c>
      <c r="B31" s="4" t="s">
        <v>73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/>
      <c r="N31" s="42"/>
      <c r="O31" s="42"/>
      <c r="P31" s="43">
        <f t="shared" si="1"/>
        <v>0</v>
      </c>
    </row>
    <row r="32" spans="1:16" ht="12.75" customHeight="1" x14ac:dyDescent="0.25">
      <c r="A32" s="18">
        <v>1.1399999999999999</v>
      </c>
      <c r="B32" s="4" t="s">
        <v>74</v>
      </c>
      <c r="C32" s="42">
        <v>0</v>
      </c>
      <c r="D32" s="42">
        <v>-40.409999999999997</v>
      </c>
      <c r="E32" s="42">
        <v>-12.62</v>
      </c>
      <c r="F32" s="42">
        <v>-85.75</v>
      </c>
      <c r="G32" s="42">
        <v>-191.72</v>
      </c>
      <c r="H32" s="42">
        <v>-109.26</v>
      </c>
      <c r="I32" s="42">
        <v>-178.93</v>
      </c>
      <c r="J32" s="42">
        <v>-152.2774</v>
      </c>
      <c r="K32" s="42">
        <v>-181.17633000000001</v>
      </c>
      <c r="L32" s="42">
        <v>-164.90950000000001</v>
      </c>
      <c r="M32" s="42"/>
      <c r="N32" s="42"/>
      <c r="O32" s="42"/>
      <c r="P32" s="43">
        <f t="shared" si="1"/>
        <v>-1117.05323</v>
      </c>
    </row>
    <row r="33" spans="1:16" ht="12.75" customHeight="1" x14ac:dyDescent="0.25">
      <c r="A33" s="18">
        <v>1.1499999999999999</v>
      </c>
      <c r="B33" s="4" t="s">
        <v>75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/>
      <c r="N33" s="42"/>
      <c r="O33" s="42"/>
      <c r="P33" s="43">
        <f t="shared" si="1"/>
        <v>0</v>
      </c>
    </row>
    <row r="34" spans="1:16" ht="12.75" customHeight="1" x14ac:dyDescent="0.25">
      <c r="A34" s="18">
        <v>1.1599999999999999</v>
      </c>
      <c r="B34" s="4" t="s">
        <v>76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/>
      <c r="N34" s="42"/>
      <c r="O34" s="42"/>
      <c r="P34" s="43">
        <f t="shared" si="1"/>
        <v>0</v>
      </c>
    </row>
    <row r="35" spans="1:16" ht="12.75" customHeight="1" x14ac:dyDescent="0.25">
      <c r="A35" s="19">
        <v>1.17</v>
      </c>
      <c r="B35" s="5" t="s">
        <v>77</v>
      </c>
      <c r="C35" s="44">
        <v>12600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/>
      <c r="N35" s="44"/>
      <c r="O35" s="44"/>
      <c r="P35" s="45">
        <f t="shared" si="1"/>
        <v>12600</v>
      </c>
    </row>
    <row r="36" spans="1:16" ht="12.75" customHeight="1" x14ac:dyDescent="0.25">
      <c r="A36" s="20"/>
      <c r="B36" s="15" t="s">
        <v>78</v>
      </c>
      <c r="C36" s="46">
        <f t="shared" ref="C36:P36" si="2">SUM(C13:C35)</f>
        <v>12600</v>
      </c>
      <c r="D36" s="46">
        <f t="shared" si="2"/>
        <v>4050.03</v>
      </c>
      <c r="E36" s="46">
        <f t="shared" si="2"/>
        <v>1274.4100000000001</v>
      </c>
      <c r="F36" s="46">
        <f t="shared" si="2"/>
        <v>8514.39</v>
      </c>
      <c r="G36" s="46">
        <f t="shared" si="2"/>
        <v>19006.079999999998</v>
      </c>
      <c r="H36" s="46">
        <f t="shared" si="2"/>
        <v>8816.61</v>
      </c>
      <c r="I36" s="46">
        <f t="shared" si="2"/>
        <v>15639.789999999999</v>
      </c>
      <c r="J36" s="46">
        <f t="shared" si="2"/>
        <v>13000.862599999999</v>
      </c>
      <c r="K36" s="46">
        <f t="shared" si="2"/>
        <v>15861.857169999999</v>
      </c>
      <c r="L36" s="46">
        <f t="shared" si="2"/>
        <v>14251.443600000001</v>
      </c>
      <c r="M36" s="46">
        <f t="shared" si="2"/>
        <v>0</v>
      </c>
      <c r="N36" s="46">
        <f t="shared" si="2"/>
        <v>0</v>
      </c>
      <c r="O36" s="46">
        <f t="shared" si="2"/>
        <v>0</v>
      </c>
      <c r="P36" s="47">
        <f t="shared" si="2"/>
        <v>113015.47337000001</v>
      </c>
    </row>
    <row r="37" spans="1:16" ht="12.75" customHeight="1" x14ac:dyDescent="0.25">
      <c r="A37" s="18"/>
      <c r="B37" s="4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3"/>
    </row>
    <row r="38" spans="1:16" ht="12.75" customHeight="1" x14ac:dyDescent="0.25">
      <c r="A38" s="18">
        <v>2</v>
      </c>
      <c r="B38" s="4" t="s">
        <v>79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3"/>
    </row>
    <row r="39" spans="1:16" ht="12.75" customHeight="1" x14ac:dyDescent="0.25">
      <c r="A39" s="18">
        <v>2.1</v>
      </c>
      <c r="B39" s="4" t="s">
        <v>80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3"/>
    </row>
    <row r="40" spans="1:16" ht="12.75" customHeight="1" x14ac:dyDescent="0.25">
      <c r="A40" s="18" t="s">
        <v>81</v>
      </c>
      <c r="B40" s="4" t="s">
        <v>82</v>
      </c>
      <c r="C40" s="42">
        <v>528.63</v>
      </c>
      <c r="D40" s="42">
        <v>935.41409999999996</v>
      </c>
      <c r="E40" s="42">
        <v>1171.2907</v>
      </c>
      <c r="F40" s="42">
        <v>1056.1077</v>
      </c>
      <c r="G40" s="42">
        <v>745.01800000000003</v>
      </c>
      <c r="H40" s="42">
        <v>1230.5106000000001</v>
      </c>
      <c r="I40" s="42">
        <v>1208.5597</v>
      </c>
      <c r="J40" s="42">
        <v>1452.7088000000001</v>
      </c>
      <c r="K40" s="42">
        <v>1268.4377999999999</v>
      </c>
      <c r="L40" s="42">
        <v>1550.7056</v>
      </c>
      <c r="M40" s="42"/>
      <c r="N40" s="42"/>
      <c r="O40" s="42"/>
      <c r="P40" s="43">
        <f t="shared" ref="P40:P52" si="3">SUM(C40:O40)</f>
        <v>11147.383</v>
      </c>
    </row>
    <row r="41" spans="1:16" ht="12.75" customHeight="1" x14ac:dyDescent="0.25">
      <c r="A41" s="18" t="s">
        <v>83</v>
      </c>
      <c r="B41" s="4" t="s">
        <v>84</v>
      </c>
      <c r="C41" s="42">
        <v>0</v>
      </c>
      <c r="D41" s="42">
        <v>18.754000000000001</v>
      </c>
      <c r="E41" s="42">
        <v>20.5273</v>
      </c>
      <c r="F41" s="42">
        <v>29.6386</v>
      </c>
      <c r="G41" s="42">
        <v>58.72</v>
      </c>
      <c r="H41" s="42">
        <v>79.061599999999999</v>
      </c>
      <c r="I41" s="42">
        <v>63.7791</v>
      </c>
      <c r="J41" s="42">
        <v>13.526999999999999</v>
      </c>
      <c r="K41" s="42">
        <v>29.375599999999999</v>
      </c>
      <c r="L41" s="42">
        <v>59.172699999999999</v>
      </c>
      <c r="M41" s="42"/>
      <c r="N41" s="42"/>
      <c r="O41" s="42"/>
      <c r="P41" s="43">
        <f t="shared" si="3"/>
        <v>372.55590000000001</v>
      </c>
    </row>
    <row r="42" spans="1:16" ht="12.75" customHeight="1" x14ac:dyDescent="0.25">
      <c r="A42" s="18" t="s">
        <v>85</v>
      </c>
      <c r="B42" s="4" t="s">
        <v>86</v>
      </c>
      <c r="C42" s="42">
        <v>3.51</v>
      </c>
      <c r="D42" s="42">
        <v>0</v>
      </c>
      <c r="E42" s="42">
        <v>39.032499999999999</v>
      </c>
      <c r="F42" s="42">
        <v>27.194500000000001</v>
      </c>
      <c r="G42" s="42">
        <v>55.67</v>
      </c>
      <c r="H42" s="42">
        <v>76.557400000000001</v>
      </c>
      <c r="I42" s="42">
        <v>107.33450000000001</v>
      </c>
      <c r="J42" s="42">
        <v>108.9948</v>
      </c>
      <c r="K42" s="42">
        <v>182.8263</v>
      </c>
      <c r="L42" s="42">
        <v>168.6729</v>
      </c>
      <c r="M42" s="42"/>
      <c r="N42" s="42"/>
      <c r="O42" s="42"/>
      <c r="P42" s="43">
        <f t="shared" si="3"/>
        <v>769.79290000000003</v>
      </c>
    </row>
    <row r="43" spans="1:16" ht="12.75" customHeight="1" x14ac:dyDescent="0.25">
      <c r="A43" s="18" t="s">
        <v>87</v>
      </c>
      <c r="B43" s="4" t="s">
        <v>88</v>
      </c>
      <c r="C43" s="42">
        <v>0</v>
      </c>
      <c r="D43" s="42">
        <v>0.79900000000000004</v>
      </c>
      <c r="E43" s="42">
        <v>0.79800000000000004</v>
      </c>
      <c r="F43" s="42">
        <v>37.93</v>
      </c>
      <c r="G43" s="42">
        <v>46</v>
      </c>
      <c r="H43" s="42">
        <v>65.255399999999995</v>
      </c>
      <c r="I43" s="42">
        <v>97.566599999999994</v>
      </c>
      <c r="J43" s="42">
        <v>150.55000000000001</v>
      </c>
      <c r="K43" s="42">
        <v>112.7334</v>
      </c>
      <c r="L43" s="42">
        <v>123.0172</v>
      </c>
      <c r="M43" s="42"/>
      <c r="N43" s="42"/>
      <c r="O43" s="42"/>
      <c r="P43" s="43">
        <f t="shared" si="3"/>
        <v>634.64959999999996</v>
      </c>
    </row>
    <row r="44" spans="1:16" ht="12.75" customHeight="1" x14ac:dyDescent="0.25">
      <c r="A44" s="18" t="s">
        <v>89</v>
      </c>
      <c r="B44" s="4" t="s">
        <v>90</v>
      </c>
      <c r="C44" s="42">
        <v>0</v>
      </c>
      <c r="D44" s="42">
        <v>66.78</v>
      </c>
      <c r="E44" s="42">
        <v>0</v>
      </c>
      <c r="F44" s="42">
        <v>24.376999999999999</v>
      </c>
      <c r="G44" s="42">
        <v>6.7539999999999996</v>
      </c>
      <c r="H44" s="42">
        <v>84.784000000000006</v>
      </c>
      <c r="I44" s="42">
        <v>6234.424</v>
      </c>
      <c r="J44" s="42">
        <v>46.728999999999999</v>
      </c>
      <c r="K44" s="42">
        <v>106.349</v>
      </c>
      <c r="L44" s="42">
        <v>289.13499999999999</v>
      </c>
      <c r="M44" s="42"/>
      <c r="N44" s="42"/>
      <c r="O44" s="42"/>
      <c r="P44" s="43">
        <f t="shared" si="3"/>
        <v>6859.3320000000003</v>
      </c>
    </row>
    <row r="45" spans="1:16" ht="12.75" customHeight="1" x14ac:dyDescent="0.25">
      <c r="A45" s="18" t="s">
        <v>91</v>
      </c>
      <c r="B45" s="4" t="s">
        <v>92</v>
      </c>
      <c r="C45" s="42">
        <v>306.41899999999998</v>
      </c>
      <c r="D45" s="42">
        <v>7.8739999999999997</v>
      </c>
      <c r="E45" s="42">
        <v>108.43186</v>
      </c>
      <c r="F45" s="42">
        <v>336.78197</v>
      </c>
      <c r="G45" s="42">
        <v>844.44664999999998</v>
      </c>
      <c r="H45" s="42">
        <v>184.59406999999999</v>
      </c>
      <c r="I45" s="42">
        <v>1006.74038</v>
      </c>
      <c r="J45" s="42">
        <v>978.71896000000004</v>
      </c>
      <c r="K45" s="42">
        <v>335.95454999999998</v>
      </c>
      <c r="L45" s="42">
        <v>1270.4847600000001</v>
      </c>
      <c r="M45" s="42"/>
      <c r="N45" s="42"/>
      <c r="O45" s="42"/>
      <c r="P45" s="43">
        <f t="shared" si="3"/>
        <v>5380.4462000000012</v>
      </c>
    </row>
    <row r="46" spans="1:16" ht="12.75" customHeight="1" x14ac:dyDescent="0.25">
      <c r="A46" s="18" t="s">
        <v>93</v>
      </c>
      <c r="B46" s="4" t="s">
        <v>94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/>
      <c r="N46" s="42"/>
      <c r="O46" s="42"/>
      <c r="P46" s="43">
        <f t="shared" si="3"/>
        <v>0</v>
      </c>
    </row>
    <row r="47" spans="1:16" ht="12.75" customHeight="1" x14ac:dyDescent="0.25">
      <c r="A47" s="18" t="s">
        <v>95</v>
      </c>
      <c r="B47" s="4" t="s">
        <v>96</v>
      </c>
      <c r="C47" s="42">
        <v>0</v>
      </c>
      <c r="D47" s="42">
        <v>0</v>
      </c>
      <c r="E47" s="42">
        <v>0</v>
      </c>
      <c r="F47" s="42">
        <v>12.1275</v>
      </c>
      <c r="G47" s="42">
        <v>0</v>
      </c>
      <c r="H47" s="42">
        <v>0.60150000000000003</v>
      </c>
      <c r="I47" s="42">
        <v>0</v>
      </c>
      <c r="J47" s="42">
        <v>6.048</v>
      </c>
      <c r="K47" s="42">
        <v>3.57</v>
      </c>
      <c r="L47" s="42">
        <v>0</v>
      </c>
      <c r="M47" s="42"/>
      <c r="N47" s="42"/>
      <c r="O47" s="42"/>
      <c r="P47" s="43">
        <f t="shared" si="3"/>
        <v>22.347000000000001</v>
      </c>
    </row>
    <row r="48" spans="1:16" ht="12.75" customHeight="1" x14ac:dyDescent="0.25">
      <c r="A48" s="18" t="s">
        <v>97</v>
      </c>
      <c r="B48" s="4" t="s">
        <v>98</v>
      </c>
      <c r="C48" s="42">
        <v>0</v>
      </c>
      <c r="D48" s="42">
        <v>0</v>
      </c>
      <c r="E48" s="42">
        <v>0</v>
      </c>
      <c r="F48" s="42">
        <v>0</v>
      </c>
      <c r="G48" s="42">
        <v>289.69</v>
      </c>
      <c r="H48" s="42">
        <v>173.54400000000001</v>
      </c>
      <c r="I48" s="42">
        <v>294.06700000000001</v>
      </c>
      <c r="J48" s="42">
        <v>240.09700000000001</v>
      </c>
      <c r="K48" s="42">
        <v>20.896000000000001</v>
      </c>
      <c r="L48" s="42">
        <v>174.82400000000001</v>
      </c>
      <c r="M48" s="42"/>
      <c r="N48" s="42"/>
      <c r="O48" s="42"/>
      <c r="P48" s="43">
        <f t="shared" si="3"/>
        <v>1193.1179999999999</v>
      </c>
    </row>
    <row r="49" spans="1:16" ht="12.75" customHeight="1" x14ac:dyDescent="0.25">
      <c r="A49" s="18" t="s">
        <v>99</v>
      </c>
      <c r="B49" s="4" t="s">
        <v>100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/>
      <c r="N49" s="42"/>
      <c r="O49" s="42"/>
      <c r="P49" s="43">
        <f t="shared" si="3"/>
        <v>0</v>
      </c>
    </row>
    <row r="50" spans="1:16" ht="12.75" customHeight="1" x14ac:dyDescent="0.25">
      <c r="A50" s="18" t="s">
        <v>101</v>
      </c>
      <c r="B50" s="4" t="s">
        <v>102</v>
      </c>
      <c r="C50" s="42">
        <v>0</v>
      </c>
      <c r="D50" s="42">
        <v>0</v>
      </c>
      <c r="E50" s="42">
        <v>18.5</v>
      </c>
      <c r="F50" s="42">
        <v>2.6890000000000001</v>
      </c>
      <c r="G50" s="42">
        <v>4667.2489999999998</v>
      </c>
      <c r="H50" s="42">
        <v>17.201809999999998</v>
      </c>
      <c r="I50" s="42">
        <v>129.23374999999999</v>
      </c>
      <c r="J50" s="42">
        <v>182.39979</v>
      </c>
      <c r="K50" s="42">
        <v>59.161900000000003</v>
      </c>
      <c r="L50" s="42">
        <v>44.338999999999999</v>
      </c>
      <c r="M50" s="42"/>
      <c r="N50" s="42"/>
      <c r="O50" s="42"/>
      <c r="P50" s="43">
        <f t="shared" si="3"/>
        <v>5120.7742500000004</v>
      </c>
    </row>
    <row r="51" spans="1:16" ht="12.75" customHeight="1" x14ac:dyDescent="0.25">
      <c r="A51" s="18" t="s">
        <v>103</v>
      </c>
      <c r="B51" s="4" t="s">
        <v>104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/>
      <c r="N51" s="42"/>
      <c r="O51" s="42"/>
      <c r="P51" s="43">
        <f t="shared" si="3"/>
        <v>0</v>
      </c>
    </row>
    <row r="52" spans="1:16" ht="12.75" customHeight="1" x14ac:dyDescent="0.25">
      <c r="A52" s="18" t="s">
        <v>105</v>
      </c>
      <c r="B52" s="4" t="s">
        <v>106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/>
      <c r="N52" s="42"/>
      <c r="O52" s="42"/>
      <c r="P52" s="43">
        <f t="shared" si="3"/>
        <v>0</v>
      </c>
    </row>
    <row r="53" spans="1:16" ht="12.75" customHeight="1" x14ac:dyDescent="0.25">
      <c r="A53" s="18">
        <v>2.2000000000000002</v>
      </c>
      <c r="B53" s="4" t="s">
        <v>107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3"/>
    </row>
    <row r="54" spans="1:16" ht="12.75" customHeight="1" x14ac:dyDescent="0.25">
      <c r="A54" s="18" t="s">
        <v>108</v>
      </c>
      <c r="B54" s="4" t="s">
        <v>109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/>
      <c r="N54" s="42"/>
      <c r="O54" s="42"/>
      <c r="P54" s="43">
        <f t="shared" ref="P54:P71" si="4">SUM(C54:O54)</f>
        <v>0</v>
      </c>
    </row>
    <row r="55" spans="1:16" ht="12.75" customHeight="1" x14ac:dyDescent="0.25">
      <c r="A55" s="18" t="s">
        <v>110</v>
      </c>
      <c r="B55" s="4" t="s">
        <v>111</v>
      </c>
      <c r="C55" s="42">
        <v>0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/>
      <c r="N55" s="42"/>
      <c r="O55" s="42"/>
      <c r="P55" s="43">
        <f t="shared" si="4"/>
        <v>0</v>
      </c>
    </row>
    <row r="56" spans="1:16" ht="12.75" customHeight="1" x14ac:dyDescent="0.25">
      <c r="A56" s="18" t="s">
        <v>112</v>
      </c>
      <c r="B56" s="4" t="s">
        <v>113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/>
      <c r="N56" s="42"/>
      <c r="O56" s="42"/>
      <c r="P56" s="43">
        <f t="shared" si="4"/>
        <v>0</v>
      </c>
    </row>
    <row r="57" spans="1:16" ht="12.75" customHeight="1" x14ac:dyDescent="0.25">
      <c r="A57" s="18" t="s">
        <v>114</v>
      </c>
      <c r="B57" s="4" t="s">
        <v>115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/>
      <c r="N57" s="42"/>
      <c r="O57" s="42"/>
      <c r="P57" s="43">
        <f t="shared" si="4"/>
        <v>0</v>
      </c>
    </row>
    <row r="58" spans="1:16" ht="12.75" customHeight="1" x14ac:dyDescent="0.25">
      <c r="A58" s="18" t="s">
        <v>116</v>
      </c>
      <c r="B58" s="4" t="s">
        <v>117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/>
      <c r="N58" s="42"/>
      <c r="O58" s="42"/>
      <c r="P58" s="43">
        <f t="shared" si="4"/>
        <v>0</v>
      </c>
    </row>
    <row r="59" spans="1:16" ht="12.75" customHeight="1" x14ac:dyDescent="0.25">
      <c r="A59" s="18" t="s">
        <v>118</v>
      </c>
      <c r="B59" s="4" t="s">
        <v>119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/>
      <c r="N59" s="42"/>
      <c r="O59" s="42"/>
      <c r="P59" s="43">
        <f t="shared" si="4"/>
        <v>0</v>
      </c>
    </row>
    <row r="60" spans="1:16" ht="12.75" customHeight="1" x14ac:dyDescent="0.25">
      <c r="A60" s="18" t="s">
        <v>120</v>
      </c>
      <c r="B60" s="4" t="s">
        <v>121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/>
      <c r="N60" s="42"/>
      <c r="O60" s="42"/>
      <c r="P60" s="43">
        <f t="shared" si="4"/>
        <v>0</v>
      </c>
    </row>
    <row r="61" spans="1:16" ht="12.75" customHeight="1" x14ac:dyDescent="0.25">
      <c r="A61" s="18" t="s">
        <v>122</v>
      </c>
      <c r="B61" s="4" t="s">
        <v>123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/>
      <c r="N61" s="42"/>
      <c r="O61" s="42"/>
      <c r="P61" s="43">
        <f t="shared" si="4"/>
        <v>0</v>
      </c>
    </row>
    <row r="62" spans="1:16" ht="12.75" customHeight="1" x14ac:dyDescent="0.25">
      <c r="A62" s="18" t="s">
        <v>124</v>
      </c>
      <c r="B62" s="4" t="s">
        <v>125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/>
      <c r="N62" s="42"/>
      <c r="O62" s="42"/>
      <c r="P62" s="43">
        <f t="shared" si="4"/>
        <v>0</v>
      </c>
    </row>
    <row r="63" spans="1:16" ht="12.75" customHeight="1" x14ac:dyDescent="0.25">
      <c r="A63" s="18" t="s">
        <v>126</v>
      </c>
      <c r="B63" s="4" t="s">
        <v>127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/>
      <c r="N63" s="42"/>
      <c r="O63" s="42"/>
      <c r="P63" s="43">
        <f t="shared" si="4"/>
        <v>0</v>
      </c>
    </row>
    <row r="64" spans="1:16" ht="12.75" customHeight="1" x14ac:dyDescent="0.25">
      <c r="A64" s="18" t="s">
        <v>128</v>
      </c>
      <c r="B64" s="4" t="s">
        <v>129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/>
      <c r="N64" s="42"/>
      <c r="O64" s="42"/>
      <c r="P64" s="43">
        <f t="shared" si="4"/>
        <v>0</v>
      </c>
    </row>
    <row r="65" spans="1:16" ht="12.75" customHeight="1" x14ac:dyDescent="0.25">
      <c r="A65" s="18" t="s">
        <v>130</v>
      </c>
      <c r="B65" s="4" t="s">
        <v>131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/>
      <c r="N65" s="42"/>
      <c r="O65" s="42"/>
      <c r="P65" s="43">
        <f t="shared" si="4"/>
        <v>0</v>
      </c>
    </row>
    <row r="66" spans="1:16" ht="12.75" customHeight="1" x14ac:dyDescent="0.25">
      <c r="A66" s="18" t="s">
        <v>132</v>
      </c>
      <c r="B66" s="4" t="s">
        <v>133</v>
      </c>
      <c r="C66" s="42">
        <v>0</v>
      </c>
      <c r="D66" s="42">
        <v>0</v>
      </c>
      <c r="E66" s="42">
        <v>0</v>
      </c>
      <c r="F66" s="42">
        <v>139.19999999999999</v>
      </c>
      <c r="G66" s="42">
        <v>8</v>
      </c>
      <c r="H66" s="42">
        <v>0</v>
      </c>
      <c r="I66" s="42">
        <v>468.89299999999997</v>
      </c>
      <c r="J66" s="42">
        <v>130.61099999999999</v>
      </c>
      <c r="K66" s="42">
        <v>0</v>
      </c>
      <c r="L66" s="42">
        <v>11.324999999999999</v>
      </c>
      <c r="M66" s="42"/>
      <c r="N66" s="42"/>
      <c r="O66" s="42"/>
      <c r="P66" s="43">
        <f t="shared" si="4"/>
        <v>758.029</v>
      </c>
    </row>
    <row r="67" spans="1:16" ht="12.75" customHeight="1" x14ac:dyDescent="0.25">
      <c r="A67" s="18" t="s">
        <v>134</v>
      </c>
      <c r="B67" s="4" t="s">
        <v>135</v>
      </c>
      <c r="C67" s="42">
        <v>467.67750000000001</v>
      </c>
      <c r="D67" s="42">
        <v>165.5</v>
      </c>
      <c r="E67" s="42">
        <v>45</v>
      </c>
      <c r="F67" s="42">
        <v>2.5</v>
      </c>
      <c r="G67" s="42">
        <v>0</v>
      </c>
      <c r="H67" s="42">
        <v>244.75</v>
      </c>
      <c r="I67" s="42">
        <v>6</v>
      </c>
      <c r="J67" s="42">
        <v>0</v>
      </c>
      <c r="K67" s="42">
        <v>3394.86</v>
      </c>
      <c r="L67" s="42">
        <v>-76</v>
      </c>
      <c r="M67" s="42"/>
      <c r="N67" s="42"/>
      <c r="O67" s="42"/>
      <c r="P67" s="43">
        <f t="shared" si="4"/>
        <v>4250.2875000000004</v>
      </c>
    </row>
    <row r="68" spans="1:16" ht="12.75" customHeight="1" x14ac:dyDescent="0.25">
      <c r="A68" s="18" t="s">
        <v>136</v>
      </c>
      <c r="B68" s="4" t="s">
        <v>137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/>
      <c r="N68" s="42"/>
      <c r="O68" s="42"/>
      <c r="P68" s="43">
        <f t="shared" si="4"/>
        <v>0</v>
      </c>
    </row>
    <row r="69" spans="1:16" ht="12.75" customHeight="1" x14ac:dyDescent="0.25">
      <c r="A69" s="18" t="s">
        <v>138</v>
      </c>
      <c r="B69" s="4" t="s">
        <v>139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/>
      <c r="N69" s="42"/>
      <c r="O69" s="42"/>
      <c r="P69" s="43">
        <f t="shared" si="4"/>
        <v>0</v>
      </c>
    </row>
    <row r="70" spans="1:16" ht="12.75" customHeight="1" x14ac:dyDescent="0.25">
      <c r="A70" s="18" t="s">
        <v>140</v>
      </c>
      <c r="B70" s="4" t="s">
        <v>141</v>
      </c>
      <c r="C70" s="42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/>
      <c r="N70" s="42"/>
      <c r="O70" s="42"/>
      <c r="P70" s="43">
        <f t="shared" si="4"/>
        <v>0</v>
      </c>
    </row>
    <row r="71" spans="1:16" ht="12.75" customHeight="1" x14ac:dyDescent="0.25">
      <c r="A71" s="18" t="s">
        <v>142</v>
      </c>
      <c r="B71" s="4" t="s">
        <v>143</v>
      </c>
      <c r="C71" s="42">
        <v>0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/>
      <c r="N71" s="42"/>
      <c r="O71" s="42"/>
      <c r="P71" s="43">
        <f t="shared" si="4"/>
        <v>0</v>
      </c>
    </row>
    <row r="72" spans="1:16" ht="12.75" customHeight="1" x14ac:dyDescent="0.25">
      <c r="A72" s="18">
        <v>2.2999999999999998</v>
      </c>
      <c r="B72" s="4" t="s">
        <v>144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3"/>
    </row>
    <row r="73" spans="1:16" ht="12.75" customHeight="1" x14ac:dyDescent="0.25">
      <c r="A73" s="18" t="s">
        <v>145</v>
      </c>
      <c r="B73" s="4" t="s">
        <v>146</v>
      </c>
      <c r="C73" s="42">
        <v>0</v>
      </c>
      <c r="D73" s="42">
        <v>178.63399999999999</v>
      </c>
      <c r="E73" s="42">
        <v>0</v>
      </c>
      <c r="F73" s="42">
        <v>0</v>
      </c>
      <c r="G73" s="42">
        <v>402.67809999999997</v>
      </c>
      <c r="H73" s="42">
        <v>70</v>
      </c>
      <c r="I73" s="42">
        <v>5</v>
      </c>
      <c r="J73" s="42">
        <v>0.85940000000000005</v>
      </c>
      <c r="K73" s="42">
        <v>3.4</v>
      </c>
      <c r="L73" s="42">
        <v>300.97399999999999</v>
      </c>
      <c r="M73" s="42"/>
      <c r="N73" s="42"/>
      <c r="O73" s="42"/>
      <c r="P73" s="43">
        <f t="shared" ref="P73:P81" si="5">SUM(C73:O73)</f>
        <v>961.54549999999995</v>
      </c>
    </row>
    <row r="74" spans="1:16" ht="12.75" customHeight="1" x14ac:dyDescent="0.25">
      <c r="A74" s="18" t="s">
        <v>147</v>
      </c>
      <c r="B74" s="4" t="s">
        <v>148</v>
      </c>
      <c r="C74" s="42">
        <v>0</v>
      </c>
      <c r="D74" s="42">
        <v>0</v>
      </c>
      <c r="E74" s="42">
        <v>0</v>
      </c>
      <c r="F74" s="42">
        <v>100</v>
      </c>
      <c r="G74" s="42">
        <v>0</v>
      </c>
      <c r="H74" s="42">
        <v>0</v>
      </c>
      <c r="I74" s="42">
        <v>88</v>
      </c>
      <c r="J74" s="42">
        <v>1.9139999999999999</v>
      </c>
      <c r="K74" s="42">
        <v>7.8259999999999996</v>
      </c>
      <c r="L74" s="42">
        <v>6.08</v>
      </c>
      <c r="M74" s="42"/>
      <c r="N74" s="42"/>
      <c r="O74" s="42"/>
      <c r="P74" s="43">
        <f t="shared" si="5"/>
        <v>203.82</v>
      </c>
    </row>
    <row r="75" spans="1:16" ht="12.75" customHeight="1" x14ac:dyDescent="0.25">
      <c r="A75" s="18" t="s">
        <v>149</v>
      </c>
      <c r="B75" s="4" t="s">
        <v>150</v>
      </c>
      <c r="C75" s="42">
        <v>0</v>
      </c>
      <c r="D75" s="42">
        <v>0</v>
      </c>
      <c r="E75" s="42">
        <v>0</v>
      </c>
      <c r="F75" s="42">
        <v>0</v>
      </c>
      <c r="G75" s="42">
        <v>0</v>
      </c>
      <c r="H75" s="42">
        <v>0</v>
      </c>
      <c r="I75" s="42">
        <v>5.6422999999999996</v>
      </c>
      <c r="J75" s="42">
        <v>11.9648</v>
      </c>
      <c r="K75" s="42">
        <v>10.6989</v>
      </c>
      <c r="L75" s="42">
        <v>11.520899999999999</v>
      </c>
      <c r="M75" s="42"/>
      <c r="N75" s="42"/>
      <c r="O75" s="42"/>
      <c r="P75" s="43">
        <f t="shared" si="5"/>
        <v>39.826899999999995</v>
      </c>
    </row>
    <row r="76" spans="1:16" ht="12.75" customHeight="1" x14ac:dyDescent="0.25">
      <c r="A76" s="18" t="s">
        <v>151</v>
      </c>
      <c r="B76" s="4" t="s">
        <v>152</v>
      </c>
      <c r="C76" s="42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0</v>
      </c>
      <c r="M76" s="42"/>
      <c r="N76" s="42"/>
      <c r="O76" s="42"/>
      <c r="P76" s="43">
        <f t="shared" si="5"/>
        <v>0</v>
      </c>
    </row>
    <row r="77" spans="1:16" ht="12.75" customHeight="1" x14ac:dyDescent="0.25">
      <c r="A77" s="18" t="s">
        <v>153</v>
      </c>
      <c r="B77" s="4" t="s">
        <v>154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0</v>
      </c>
      <c r="M77" s="42"/>
      <c r="N77" s="42"/>
      <c r="O77" s="42"/>
      <c r="P77" s="43">
        <f t="shared" si="5"/>
        <v>0</v>
      </c>
    </row>
    <row r="78" spans="1:16" ht="12.75" customHeight="1" x14ac:dyDescent="0.25">
      <c r="A78" s="18" t="s">
        <v>155</v>
      </c>
      <c r="B78" s="4" t="s">
        <v>156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/>
      <c r="N78" s="42"/>
      <c r="O78" s="42"/>
      <c r="P78" s="43">
        <f t="shared" si="5"/>
        <v>0</v>
      </c>
    </row>
    <row r="79" spans="1:16" ht="12.75" customHeight="1" x14ac:dyDescent="0.25">
      <c r="A79" s="18" t="s">
        <v>157</v>
      </c>
      <c r="B79" s="4" t="s">
        <v>158</v>
      </c>
      <c r="C79" s="42">
        <v>0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2">
        <v>0</v>
      </c>
      <c r="K79" s="42">
        <v>0</v>
      </c>
      <c r="L79" s="42">
        <v>0</v>
      </c>
      <c r="M79" s="42"/>
      <c r="N79" s="42"/>
      <c r="O79" s="42"/>
      <c r="P79" s="43">
        <f t="shared" si="5"/>
        <v>0</v>
      </c>
    </row>
    <row r="80" spans="1:16" ht="12.75" customHeight="1" x14ac:dyDescent="0.25">
      <c r="A80" s="18" t="s">
        <v>159</v>
      </c>
      <c r="B80" s="4" t="s">
        <v>160</v>
      </c>
      <c r="C80" s="42">
        <v>0</v>
      </c>
      <c r="D80" s="42">
        <v>0</v>
      </c>
      <c r="E80" s="42">
        <v>0</v>
      </c>
      <c r="F80" s="42">
        <v>0</v>
      </c>
      <c r="G80" s="42">
        <v>0</v>
      </c>
      <c r="H80" s="42">
        <v>0</v>
      </c>
      <c r="I80" s="42">
        <v>0</v>
      </c>
      <c r="J80" s="42">
        <v>0</v>
      </c>
      <c r="K80" s="42">
        <v>0</v>
      </c>
      <c r="L80" s="42">
        <v>0</v>
      </c>
      <c r="M80" s="42"/>
      <c r="N80" s="42"/>
      <c r="O80" s="42"/>
      <c r="P80" s="43">
        <f t="shared" si="5"/>
        <v>0</v>
      </c>
    </row>
    <row r="81" spans="1:16" ht="12.75" customHeight="1" x14ac:dyDescent="0.25">
      <c r="A81" s="18" t="s">
        <v>161</v>
      </c>
      <c r="B81" s="4" t="s">
        <v>162</v>
      </c>
      <c r="C81" s="42">
        <v>0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42">
        <v>25.702529999999999</v>
      </c>
      <c r="L81" s="42">
        <v>25.702529999999999</v>
      </c>
      <c r="M81" s="42"/>
      <c r="N81" s="42"/>
      <c r="O81" s="42"/>
      <c r="P81" s="43">
        <f t="shared" si="5"/>
        <v>51.405059999999999</v>
      </c>
    </row>
    <row r="82" spans="1:16" ht="12.75" customHeight="1" x14ac:dyDescent="0.25">
      <c r="A82" s="18">
        <v>2.4</v>
      </c>
      <c r="B82" s="4" t="s">
        <v>163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3"/>
    </row>
    <row r="83" spans="1:16" ht="12.75" customHeight="1" x14ac:dyDescent="0.25">
      <c r="A83" s="18" t="s">
        <v>164</v>
      </c>
      <c r="B83" s="4" t="s">
        <v>165</v>
      </c>
      <c r="C83" s="42">
        <v>0</v>
      </c>
      <c r="D83" s="42">
        <v>0</v>
      </c>
      <c r="E83" s="42">
        <v>0</v>
      </c>
      <c r="F83" s="42">
        <v>0</v>
      </c>
      <c r="G83" s="42">
        <v>3958.5729700000002</v>
      </c>
      <c r="H83" s="42">
        <v>1462.22378</v>
      </c>
      <c r="I83" s="42">
        <v>283.92</v>
      </c>
      <c r="J83" s="42">
        <v>6508.4101300000002</v>
      </c>
      <c r="K83" s="42">
        <f>2114.05111+4</f>
        <v>2118.0511099999999</v>
      </c>
      <c r="L83" s="42">
        <f>2567.66836+4</f>
        <v>2571.6683600000001</v>
      </c>
      <c r="M83" s="42"/>
      <c r="N83" s="42"/>
      <c r="O83" s="42"/>
      <c r="P83" s="43">
        <f t="shared" ref="P83:P92" si="6">SUM(C83:O83)</f>
        <v>16902.84635</v>
      </c>
    </row>
    <row r="84" spans="1:16" ht="12.75" customHeight="1" x14ac:dyDescent="0.25">
      <c r="A84" s="18" t="s">
        <v>166</v>
      </c>
      <c r="B84" s="4" t="s">
        <v>167</v>
      </c>
      <c r="C84" s="42">
        <v>0</v>
      </c>
      <c r="D84" s="42">
        <v>0</v>
      </c>
      <c r="E84" s="42">
        <v>0</v>
      </c>
      <c r="F84" s="42">
        <v>0</v>
      </c>
      <c r="G84" s="42">
        <v>0</v>
      </c>
      <c r="H84" s="42">
        <v>0</v>
      </c>
      <c r="I84" s="42">
        <v>0</v>
      </c>
      <c r="J84" s="42">
        <v>38.261600000000001</v>
      </c>
      <c r="K84" s="42">
        <v>342.91800000000001</v>
      </c>
      <c r="L84" s="42">
        <v>205.09298000000001</v>
      </c>
      <c r="M84" s="42"/>
      <c r="N84" s="42"/>
      <c r="O84" s="42"/>
      <c r="P84" s="43">
        <f t="shared" si="6"/>
        <v>586.27258000000006</v>
      </c>
    </row>
    <row r="85" spans="1:16" ht="12.75" customHeight="1" x14ac:dyDescent="0.25">
      <c r="A85" s="18" t="s">
        <v>168</v>
      </c>
      <c r="B85" s="4" t="s">
        <v>169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0</v>
      </c>
      <c r="M85" s="42"/>
      <c r="N85" s="42"/>
      <c r="O85" s="42"/>
      <c r="P85" s="43">
        <f t="shared" si="6"/>
        <v>0</v>
      </c>
    </row>
    <row r="86" spans="1:16" ht="12.75" customHeight="1" x14ac:dyDescent="0.25">
      <c r="A86" s="18" t="s">
        <v>170</v>
      </c>
      <c r="B86" s="4" t="s">
        <v>171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0</v>
      </c>
      <c r="J86" s="42">
        <v>0</v>
      </c>
      <c r="K86" s="42">
        <v>0</v>
      </c>
      <c r="L86" s="42">
        <v>0</v>
      </c>
      <c r="M86" s="42"/>
      <c r="N86" s="42"/>
      <c r="O86" s="42"/>
      <c r="P86" s="43">
        <f t="shared" si="6"/>
        <v>0</v>
      </c>
    </row>
    <row r="87" spans="1:16" ht="12.75" customHeight="1" x14ac:dyDescent="0.25">
      <c r="A87" s="18" t="s">
        <v>172</v>
      </c>
      <c r="B87" s="4" t="s">
        <v>173</v>
      </c>
      <c r="C87" s="42">
        <v>0</v>
      </c>
      <c r="D87" s="42">
        <v>0</v>
      </c>
      <c r="E87" s="42">
        <v>0</v>
      </c>
      <c r="F87" s="42">
        <v>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0</v>
      </c>
      <c r="M87" s="42"/>
      <c r="N87" s="42"/>
      <c r="O87" s="42"/>
      <c r="P87" s="43">
        <f t="shared" si="6"/>
        <v>0</v>
      </c>
    </row>
    <row r="88" spans="1:16" ht="12.75" customHeight="1" x14ac:dyDescent="0.25">
      <c r="A88" s="18" t="s">
        <v>174</v>
      </c>
      <c r="B88" s="4" t="s">
        <v>175</v>
      </c>
      <c r="C88" s="42">
        <v>0</v>
      </c>
      <c r="D88" s="42">
        <v>0</v>
      </c>
      <c r="E88" s="42">
        <v>0</v>
      </c>
      <c r="F88" s="42">
        <v>0</v>
      </c>
      <c r="G88" s="42">
        <v>-389.86414000000002</v>
      </c>
      <c r="H88" s="42">
        <v>-152.7354</v>
      </c>
      <c r="I88" s="42">
        <v>-41.866999999999997</v>
      </c>
      <c r="J88" s="42">
        <v>-620.59783000000004</v>
      </c>
      <c r="K88" s="42">
        <v>-213.54510999999999</v>
      </c>
      <c r="L88" s="42">
        <v>-221.42829</v>
      </c>
      <c r="M88" s="42"/>
      <c r="N88" s="42"/>
      <c r="O88" s="42"/>
      <c r="P88" s="43">
        <f t="shared" si="6"/>
        <v>-1640.0377700000001</v>
      </c>
    </row>
    <row r="89" spans="1:16" ht="12.75" customHeight="1" x14ac:dyDescent="0.25">
      <c r="A89" s="18" t="s">
        <v>176</v>
      </c>
      <c r="B89" s="4" t="s">
        <v>177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/>
      <c r="N89" s="42"/>
      <c r="O89" s="42"/>
      <c r="P89" s="43">
        <f t="shared" si="6"/>
        <v>0</v>
      </c>
    </row>
    <row r="90" spans="1:16" ht="12.75" customHeight="1" x14ac:dyDescent="0.25">
      <c r="A90" s="18" t="s">
        <v>178</v>
      </c>
      <c r="B90" s="4" t="s">
        <v>179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/>
      <c r="N90" s="42"/>
      <c r="O90" s="42"/>
      <c r="P90" s="43">
        <f t="shared" si="6"/>
        <v>0</v>
      </c>
    </row>
    <row r="91" spans="1:16" ht="12.75" customHeight="1" x14ac:dyDescent="0.25">
      <c r="A91" s="18" t="s">
        <v>180</v>
      </c>
      <c r="B91" s="4" t="s">
        <v>181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/>
      <c r="N91" s="42"/>
      <c r="O91" s="42"/>
      <c r="P91" s="43">
        <f t="shared" si="6"/>
        <v>0</v>
      </c>
    </row>
    <row r="92" spans="1:16" ht="12.75" customHeight="1" x14ac:dyDescent="0.25">
      <c r="A92" s="18">
        <v>2.5</v>
      </c>
      <c r="B92" s="4" t="s">
        <v>182</v>
      </c>
      <c r="C92" s="42">
        <v>0</v>
      </c>
      <c r="D92" s="42">
        <v>0</v>
      </c>
      <c r="E92" s="42">
        <v>0</v>
      </c>
      <c r="F92" s="42">
        <v>0</v>
      </c>
      <c r="G92" s="42">
        <v>0</v>
      </c>
      <c r="H92" s="42">
        <v>0</v>
      </c>
      <c r="I92" s="42">
        <v>0</v>
      </c>
      <c r="J92" s="42">
        <v>0</v>
      </c>
      <c r="K92" s="42">
        <v>0</v>
      </c>
      <c r="L92" s="42">
        <v>0</v>
      </c>
      <c r="M92" s="42"/>
      <c r="N92" s="42"/>
      <c r="O92" s="42"/>
      <c r="P92" s="43">
        <f t="shared" si="6"/>
        <v>0</v>
      </c>
    </row>
    <row r="93" spans="1:16" ht="12.75" customHeight="1" x14ac:dyDescent="0.25">
      <c r="A93" s="18">
        <v>2.6</v>
      </c>
      <c r="B93" s="4" t="s">
        <v>183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3"/>
    </row>
    <row r="94" spans="1:16" ht="12.75" customHeight="1" x14ac:dyDescent="0.25">
      <c r="A94" s="18" t="s">
        <v>184</v>
      </c>
      <c r="B94" s="4" t="s">
        <v>185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/>
      <c r="N94" s="42"/>
      <c r="O94" s="42"/>
      <c r="P94" s="43">
        <f t="shared" ref="P94:P99" si="7">SUM(C94:O94)</f>
        <v>0</v>
      </c>
    </row>
    <row r="95" spans="1:16" ht="12.75" customHeight="1" x14ac:dyDescent="0.25">
      <c r="A95" s="18" t="s">
        <v>186</v>
      </c>
      <c r="B95" s="4" t="s">
        <v>187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/>
      <c r="N95" s="42"/>
      <c r="O95" s="42"/>
      <c r="P95" s="43">
        <f t="shared" si="7"/>
        <v>0</v>
      </c>
    </row>
    <row r="96" spans="1:16" ht="12.75" customHeight="1" x14ac:dyDescent="0.25">
      <c r="A96" s="18">
        <v>2.7</v>
      </c>
      <c r="B96" s="4" t="s">
        <v>188</v>
      </c>
      <c r="C96" s="42">
        <v>0</v>
      </c>
      <c r="D96" s="42">
        <v>0</v>
      </c>
      <c r="E96" s="42">
        <v>0</v>
      </c>
      <c r="F96" s="42">
        <v>0</v>
      </c>
      <c r="G96" s="42">
        <v>0</v>
      </c>
      <c r="H96" s="42">
        <v>0</v>
      </c>
      <c r="I96" s="42">
        <v>0</v>
      </c>
      <c r="J96" s="42">
        <v>0</v>
      </c>
      <c r="K96" s="42">
        <v>0</v>
      </c>
      <c r="L96" s="42">
        <v>0</v>
      </c>
      <c r="M96" s="42"/>
      <c r="N96" s="42"/>
      <c r="O96" s="42"/>
      <c r="P96" s="43">
        <f t="shared" si="7"/>
        <v>0</v>
      </c>
    </row>
    <row r="97" spans="1:16" ht="12.75" customHeight="1" x14ac:dyDescent="0.25">
      <c r="A97" s="18">
        <v>2.8</v>
      </c>
      <c r="B97" s="4" t="s">
        <v>189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/>
      <c r="N97" s="42"/>
      <c r="O97" s="42"/>
      <c r="P97" s="43">
        <f t="shared" si="7"/>
        <v>0</v>
      </c>
    </row>
    <row r="98" spans="1:16" ht="12.75" customHeight="1" x14ac:dyDescent="0.25">
      <c r="A98" s="18">
        <v>2.9</v>
      </c>
      <c r="B98" s="4" t="s">
        <v>190</v>
      </c>
      <c r="C98" s="42">
        <v>3952.19868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/>
      <c r="N98" s="42"/>
      <c r="O98" s="42"/>
      <c r="P98" s="43">
        <f t="shared" si="7"/>
        <v>3952.19868</v>
      </c>
    </row>
    <row r="99" spans="1:16" ht="12.75" customHeight="1" x14ac:dyDescent="0.25">
      <c r="A99" s="18" t="s">
        <v>191</v>
      </c>
      <c r="B99" s="4" t="s">
        <v>192</v>
      </c>
      <c r="C99" s="42">
        <v>0</v>
      </c>
      <c r="D99" s="42">
        <v>0</v>
      </c>
      <c r="E99" s="42">
        <v>0</v>
      </c>
      <c r="F99" s="42">
        <v>0</v>
      </c>
      <c r="G99" s="42">
        <v>0</v>
      </c>
      <c r="H99" s="42">
        <v>0</v>
      </c>
      <c r="I99" s="42">
        <v>0</v>
      </c>
      <c r="J99" s="42">
        <v>0</v>
      </c>
      <c r="K99" s="42">
        <v>0</v>
      </c>
      <c r="L99" s="42">
        <v>0</v>
      </c>
      <c r="M99" s="42"/>
      <c r="N99" s="42"/>
      <c r="O99" s="42"/>
      <c r="P99" s="43">
        <f t="shared" si="7"/>
        <v>0</v>
      </c>
    </row>
    <row r="100" spans="1:16" ht="12.75" customHeight="1" x14ac:dyDescent="0.25">
      <c r="A100" s="18">
        <v>2.11</v>
      </c>
      <c r="B100" s="4" t="s">
        <v>193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3"/>
    </row>
    <row r="101" spans="1:16" ht="12.75" customHeight="1" x14ac:dyDescent="0.25">
      <c r="A101" s="18" t="s">
        <v>194</v>
      </c>
      <c r="B101" s="4" t="s">
        <v>195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/>
      <c r="N101" s="42"/>
      <c r="O101" s="42"/>
      <c r="P101" s="43">
        <f t="shared" ref="P101:P106" si="8">SUM(C101:O101)</f>
        <v>0</v>
      </c>
    </row>
    <row r="102" spans="1:16" ht="12.75" customHeight="1" x14ac:dyDescent="0.25">
      <c r="A102" s="18" t="s">
        <v>196</v>
      </c>
      <c r="B102" s="4" t="s">
        <v>197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/>
      <c r="N102" s="42"/>
      <c r="O102" s="42"/>
      <c r="P102" s="43">
        <f t="shared" si="8"/>
        <v>0</v>
      </c>
    </row>
    <row r="103" spans="1:16" ht="12.75" customHeight="1" x14ac:dyDescent="0.25">
      <c r="A103" s="18" t="s">
        <v>198</v>
      </c>
      <c r="B103" s="4" t="s">
        <v>199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/>
      <c r="N103" s="42"/>
      <c r="O103" s="42"/>
      <c r="P103" s="43">
        <f t="shared" si="8"/>
        <v>0</v>
      </c>
    </row>
    <row r="104" spans="1:16" ht="12.75" customHeight="1" x14ac:dyDescent="0.25">
      <c r="A104" s="18">
        <v>2.12</v>
      </c>
      <c r="B104" s="4" t="s">
        <v>200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/>
      <c r="N104" s="42"/>
      <c r="O104" s="42"/>
      <c r="P104" s="43">
        <f t="shared" si="8"/>
        <v>0</v>
      </c>
    </row>
    <row r="105" spans="1:16" ht="12.75" customHeight="1" x14ac:dyDescent="0.25">
      <c r="A105" s="18">
        <v>2.13</v>
      </c>
      <c r="B105" s="4" t="s">
        <v>201</v>
      </c>
      <c r="C105" s="42">
        <v>0</v>
      </c>
      <c r="D105" s="42">
        <v>0</v>
      </c>
      <c r="E105" s="42">
        <v>0</v>
      </c>
      <c r="F105" s="42">
        <v>0</v>
      </c>
      <c r="G105" s="42">
        <v>0</v>
      </c>
      <c r="H105" s="42">
        <v>0</v>
      </c>
      <c r="I105" s="42">
        <v>0</v>
      </c>
      <c r="J105" s="42">
        <v>0</v>
      </c>
      <c r="K105" s="42">
        <v>0</v>
      </c>
      <c r="L105" s="42">
        <v>0</v>
      </c>
      <c r="M105" s="42"/>
      <c r="N105" s="42"/>
      <c r="O105" s="42"/>
      <c r="P105" s="43">
        <f t="shared" si="8"/>
        <v>0</v>
      </c>
    </row>
    <row r="106" spans="1:16" ht="12.75" customHeight="1" x14ac:dyDescent="0.25">
      <c r="A106" s="19">
        <v>2.14</v>
      </c>
      <c r="B106" s="5" t="s">
        <v>202</v>
      </c>
      <c r="C106" s="44">
        <v>0</v>
      </c>
      <c r="D106" s="44">
        <v>0</v>
      </c>
      <c r="E106" s="44">
        <v>0</v>
      </c>
      <c r="F106" s="44">
        <v>0</v>
      </c>
      <c r="G106" s="44">
        <v>0</v>
      </c>
      <c r="H106" s="44">
        <v>0</v>
      </c>
      <c r="I106" s="44">
        <v>0</v>
      </c>
      <c r="J106" s="44">
        <v>0</v>
      </c>
      <c r="K106" s="44">
        <v>0</v>
      </c>
      <c r="L106" s="44">
        <v>0</v>
      </c>
      <c r="M106" s="44"/>
      <c r="N106" s="44"/>
      <c r="O106" s="44"/>
      <c r="P106" s="45">
        <f t="shared" si="8"/>
        <v>0</v>
      </c>
    </row>
    <row r="107" spans="1:16" ht="12.75" customHeight="1" x14ac:dyDescent="0.25">
      <c r="A107" s="20"/>
      <c r="B107" s="15" t="s">
        <v>203</v>
      </c>
      <c r="C107" s="46">
        <f t="shared" ref="C107:P107" si="9">SUM(C38:C106)</f>
        <v>5258.4351800000004</v>
      </c>
      <c r="D107" s="46">
        <f t="shared" si="9"/>
        <v>1373.7550999999999</v>
      </c>
      <c r="E107" s="46">
        <f t="shared" si="9"/>
        <v>1403.5803599999999</v>
      </c>
      <c r="F107" s="46">
        <f t="shared" si="9"/>
        <v>1768.5462700000003</v>
      </c>
      <c r="G107" s="46">
        <f t="shared" si="9"/>
        <v>10692.934580000001</v>
      </c>
      <c r="H107" s="46">
        <f t="shared" si="9"/>
        <v>3536.3487600000003</v>
      </c>
      <c r="I107" s="46">
        <f t="shared" si="9"/>
        <v>9957.2933299999968</v>
      </c>
      <c r="J107" s="46">
        <f t="shared" si="9"/>
        <v>9251.1964499999995</v>
      </c>
      <c r="K107" s="46">
        <f t="shared" si="9"/>
        <v>7809.2159799999981</v>
      </c>
      <c r="L107" s="46">
        <f t="shared" si="9"/>
        <v>6515.2866400000012</v>
      </c>
      <c r="M107" s="46">
        <f t="shared" si="9"/>
        <v>0</v>
      </c>
      <c r="N107" s="46">
        <f t="shared" si="9"/>
        <v>0</v>
      </c>
      <c r="O107" s="46">
        <f t="shared" si="9"/>
        <v>0</v>
      </c>
      <c r="P107" s="47">
        <f t="shared" si="9"/>
        <v>57566.592649999999</v>
      </c>
    </row>
    <row r="108" spans="1:16" ht="12.75" customHeight="1" x14ac:dyDescent="0.25">
      <c r="A108" s="18"/>
      <c r="B108" s="4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3"/>
    </row>
    <row r="109" spans="1:16" ht="12.75" customHeight="1" x14ac:dyDescent="0.25">
      <c r="A109" s="21">
        <v>3</v>
      </c>
      <c r="B109" s="6" t="s">
        <v>204</v>
      </c>
      <c r="C109" s="48">
        <f t="shared" ref="C109:L109" si="10">C36-C107</f>
        <v>7341.5648199999996</v>
      </c>
      <c r="D109" s="48">
        <f t="shared" si="10"/>
        <v>2676.2749000000003</v>
      </c>
      <c r="E109" s="48">
        <f t="shared" si="10"/>
        <v>-129.17035999999985</v>
      </c>
      <c r="F109" s="48">
        <f t="shared" si="10"/>
        <v>6745.8437299999987</v>
      </c>
      <c r="G109" s="48">
        <f t="shared" si="10"/>
        <v>8313.1454199999971</v>
      </c>
      <c r="H109" s="48">
        <f t="shared" si="10"/>
        <v>5280.2612399999998</v>
      </c>
      <c r="I109" s="48">
        <f t="shared" si="10"/>
        <v>5682.4966700000023</v>
      </c>
      <c r="J109" s="48">
        <f t="shared" si="10"/>
        <v>3749.6661499999991</v>
      </c>
      <c r="K109" s="48">
        <f t="shared" si="10"/>
        <v>8052.6411900000012</v>
      </c>
      <c r="L109" s="48">
        <f t="shared" si="10"/>
        <v>7736.1569599999993</v>
      </c>
      <c r="M109" s="48"/>
      <c r="N109" s="48"/>
      <c r="O109" s="48"/>
      <c r="P109" s="49">
        <f>P36-P107</f>
        <v>55448.880720000008</v>
      </c>
    </row>
    <row r="110" spans="1:16" ht="12.75" customHeight="1" x14ac:dyDescent="0.25">
      <c r="A110" s="18"/>
      <c r="B110" s="4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3"/>
    </row>
    <row r="111" spans="1:16" ht="12.75" customHeight="1" x14ac:dyDescent="0.25">
      <c r="A111" s="18">
        <v>4</v>
      </c>
      <c r="B111" s="4" t="s">
        <v>205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3"/>
    </row>
    <row r="112" spans="1:16" ht="12.75" customHeight="1" x14ac:dyDescent="0.25">
      <c r="A112" s="18"/>
      <c r="B112" s="4" t="s">
        <v>206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3"/>
    </row>
    <row r="113" spans="1:16" ht="12.75" customHeight="1" x14ac:dyDescent="0.25">
      <c r="A113" s="18">
        <v>2.1</v>
      </c>
      <c r="B113" s="4" t="s">
        <v>80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3"/>
    </row>
    <row r="114" spans="1:16" ht="12.75" customHeight="1" x14ac:dyDescent="0.25">
      <c r="A114" s="18" t="s">
        <v>93</v>
      </c>
      <c r="B114" s="4" t="s">
        <v>207</v>
      </c>
      <c r="C114" s="42">
        <f t="shared" ref="C114:L114" si="11">C46*-1</f>
        <v>0</v>
      </c>
      <c r="D114" s="42">
        <f t="shared" si="11"/>
        <v>0</v>
      </c>
      <c r="E114" s="42">
        <f t="shared" si="11"/>
        <v>0</v>
      </c>
      <c r="F114" s="42">
        <f t="shared" si="11"/>
        <v>0</v>
      </c>
      <c r="G114" s="42">
        <f t="shared" si="11"/>
        <v>0</v>
      </c>
      <c r="H114" s="42">
        <f t="shared" si="11"/>
        <v>0</v>
      </c>
      <c r="I114" s="42">
        <f t="shared" si="11"/>
        <v>0</v>
      </c>
      <c r="J114" s="42">
        <f t="shared" si="11"/>
        <v>0</v>
      </c>
      <c r="K114" s="42">
        <f t="shared" si="11"/>
        <v>0</v>
      </c>
      <c r="L114" s="42">
        <f t="shared" si="11"/>
        <v>0</v>
      </c>
      <c r="M114" s="42"/>
      <c r="N114" s="42"/>
      <c r="O114" s="42"/>
      <c r="P114" s="43">
        <f>P46*-1</f>
        <v>0</v>
      </c>
    </row>
    <row r="115" spans="1:16" ht="12.75" customHeight="1" x14ac:dyDescent="0.25">
      <c r="A115" s="18">
        <v>2.2999999999999998</v>
      </c>
      <c r="B115" s="4" t="s">
        <v>144</v>
      </c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3"/>
    </row>
    <row r="116" spans="1:16" ht="12.75" customHeight="1" x14ac:dyDescent="0.25">
      <c r="A116" s="18" t="s">
        <v>157</v>
      </c>
      <c r="B116" s="4" t="s">
        <v>208</v>
      </c>
      <c r="C116" s="42">
        <f t="shared" ref="C116:L116" si="12">C79*-1</f>
        <v>0</v>
      </c>
      <c r="D116" s="42">
        <f t="shared" si="12"/>
        <v>0</v>
      </c>
      <c r="E116" s="42">
        <f t="shared" si="12"/>
        <v>0</v>
      </c>
      <c r="F116" s="42">
        <f t="shared" si="12"/>
        <v>0</v>
      </c>
      <c r="G116" s="42">
        <f t="shared" si="12"/>
        <v>0</v>
      </c>
      <c r="H116" s="42">
        <f t="shared" si="12"/>
        <v>0</v>
      </c>
      <c r="I116" s="42">
        <f t="shared" si="12"/>
        <v>0</v>
      </c>
      <c r="J116" s="42">
        <f t="shared" si="12"/>
        <v>0</v>
      </c>
      <c r="K116" s="42">
        <f t="shared" si="12"/>
        <v>0</v>
      </c>
      <c r="L116" s="42">
        <f t="shared" si="12"/>
        <v>0</v>
      </c>
      <c r="M116" s="42"/>
      <c r="N116" s="42"/>
      <c r="O116" s="42"/>
      <c r="P116" s="43">
        <f>P79*-1</f>
        <v>0</v>
      </c>
    </row>
    <row r="117" spans="1:16" ht="12.75" customHeight="1" x14ac:dyDescent="0.25">
      <c r="A117" s="18"/>
      <c r="B117" s="4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3"/>
    </row>
    <row r="118" spans="1:16" ht="12.75" customHeight="1" x14ac:dyDescent="0.25">
      <c r="A118" s="19">
        <v>4.0999999999999996</v>
      </c>
      <c r="B118" s="5" t="s">
        <v>209</v>
      </c>
      <c r="C118" s="44">
        <v>-80.069762159999996</v>
      </c>
      <c r="D118" s="44">
        <f t="shared" ref="D118:L118" si="13">(D109-SUM(D111:D116)-D125-D126+D127)*-0.05/12</f>
        <v>-42.074622842333341</v>
      </c>
      <c r="E118" s="44">
        <f t="shared" si="13"/>
        <v>-41.711723937509724</v>
      </c>
      <c r="F118" s="44">
        <f t="shared" si="13"/>
        <v>-69.993204995582687</v>
      </c>
      <c r="G118" s="44">
        <f t="shared" si="13"/>
        <v>-100.1714292663976</v>
      </c>
      <c r="H118" s="44">
        <f t="shared" si="13"/>
        <v>-120.38574622167425</v>
      </c>
      <c r="I118" s="44">
        <f t="shared" si="13"/>
        <v>-140.65447545593125</v>
      </c>
      <c r="J118" s="44">
        <f t="shared" si="13"/>
        <v>-153.61392907866426</v>
      </c>
      <c r="K118" s="44">
        <f t="shared" si="13"/>
        <v>-183.84119444899207</v>
      </c>
      <c r="L118" s="44">
        <f t="shared" si="13"/>
        <v>-213.2783258591962</v>
      </c>
      <c r="M118" s="44"/>
      <c r="N118" s="44"/>
      <c r="O118" s="44"/>
      <c r="P118" s="45">
        <f>SUM(C118:O118)</f>
        <v>-1145.7944142662814</v>
      </c>
    </row>
    <row r="119" spans="1:16" ht="12.75" customHeight="1" x14ac:dyDescent="0.25">
      <c r="A119" s="20">
        <v>4.3</v>
      </c>
      <c r="B119" s="15" t="s">
        <v>210</v>
      </c>
      <c r="C119" s="46">
        <f t="shared" ref="C119:P119" si="14">SUM(C111:C118)</f>
        <v>-80.069762159999996</v>
      </c>
      <c r="D119" s="46">
        <f t="shared" si="14"/>
        <v>-42.074622842333341</v>
      </c>
      <c r="E119" s="46">
        <f t="shared" si="14"/>
        <v>-41.711723937509724</v>
      </c>
      <c r="F119" s="46">
        <f t="shared" si="14"/>
        <v>-69.993204995582687</v>
      </c>
      <c r="G119" s="46">
        <f t="shared" si="14"/>
        <v>-100.1714292663976</v>
      </c>
      <c r="H119" s="46">
        <f t="shared" si="14"/>
        <v>-120.38574622167425</v>
      </c>
      <c r="I119" s="46">
        <f t="shared" si="14"/>
        <v>-140.65447545593125</v>
      </c>
      <c r="J119" s="46">
        <f t="shared" si="14"/>
        <v>-153.61392907866426</v>
      </c>
      <c r="K119" s="46">
        <f t="shared" si="14"/>
        <v>-183.84119444899207</v>
      </c>
      <c r="L119" s="46">
        <f t="shared" si="14"/>
        <v>-213.2783258591962</v>
      </c>
      <c r="M119" s="46">
        <f t="shared" si="14"/>
        <v>0</v>
      </c>
      <c r="N119" s="46">
        <f t="shared" si="14"/>
        <v>0</v>
      </c>
      <c r="O119" s="46">
        <f t="shared" si="14"/>
        <v>0</v>
      </c>
      <c r="P119" s="47">
        <f t="shared" si="14"/>
        <v>-1145.7944142662814</v>
      </c>
    </row>
    <row r="120" spans="1:16" ht="12.75" customHeight="1" x14ac:dyDescent="0.25">
      <c r="A120" s="18"/>
      <c r="B120" s="4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3"/>
    </row>
    <row r="121" spans="1:16" ht="12.75" customHeight="1" x14ac:dyDescent="0.25">
      <c r="A121" s="21">
        <v>5</v>
      </c>
      <c r="B121" s="6" t="s">
        <v>211</v>
      </c>
      <c r="C121" s="48">
        <f t="shared" ref="C121:L121" si="15">C109-C119</f>
        <v>7421.6345821599998</v>
      </c>
      <c r="D121" s="48">
        <f t="shared" si="15"/>
        <v>2718.3495228423335</v>
      </c>
      <c r="E121" s="48">
        <f t="shared" si="15"/>
        <v>-87.458636062490115</v>
      </c>
      <c r="F121" s="48">
        <f t="shared" si="15"/>
        <v>6815.836934995581</v>
      </c>
      <c r="G121" s="48">
        <f t="shared" si="15"/>
        <v>8413.3168492663954</v>
      </c>
      <c r="H121" s="48">
        <f t="shared" si="15"/>
        <v>5400.6469862216745</v>
      </c>
      <c r="I121" s="48">
        <f t="shared" si="15"/>
        <v>5823.1511454559331</v>
      </c>
      <c r="J121" s="48">
        <f t="shared" si="15"/>
        <v>3903.2800790786632</v>
      </c>
      <c r="K121" s="48">
        <f t="shared" si="15"/>
        <v>8236.4823844489929</v>
      </c>
      <c r="L121" s="48">
        <f t="shared" si="15"/>
        <v>7949.4352858591956</v>
      </c>
      <c r="M121" s="48"/>
      <c r="N121" s="48"/>
      <c r="O121" s="48"/>
      <c r="P121" s="49">
        <f>P109-P119</f>
        <v>56594.67513426629</v>
      </c>
    </row>
    <row r="122" spans="1:16" ht="12.75" customHeight="1" x14ac:dyDescent="0.25">
      <c r="A122" s="18"/>
      <c r="B122" s="4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3"/>
    </row>
    <row r="123" spans="1:16" ht="12.75" customHeight="1" x14ac:dyDescent="0.25">
      <c r="A123" s="18">
        <v>6</v>
      </c>
      <c r="B123" s="4" t="s">
        <v>212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3"/>
    </row>
    <row r="124" spans="1:16" ht="12.75" hidden="1" customHeight="1" x14ac:dyDescent="0.25">
      <c r="A124" s="18">
        <v>6.1</v>
      </c>
      <c r="B124" s="4" t="s">
        <v>213</v>
      </c>
      <c r="C124" s="42">
        <v>0</v>
      </c>
      <c r="D124" s="42">
        <v>0</v>
      </c>
      <c r="E124" s="42">
        <v>0</v>
      </c>
      <c r="F124" s="42">
        <v>0</v>
      </c>
      <c r="G124" s="42">
        <v>0.06</v>
      </c>
      <c r="H124" s="42">
        <v>0.06</v>
      </c>
      <c r="I124" s="42">
        <v>0.06</v>
      </c>
      <c r="J124" s="42">
        <v>0.06</v>
      </c>
      <c r="K124" s="42">
        <v>0.06</v>
      </c>
      <c r="L124" s="42">
        <v>0.06</v>
      </c>
      <c r="M124" s="42"/>
      <c r="N124" s="42"/>
      <c r="O124" s="42"/>
      <c r="P124" s="43"/>
    </row>
    <row r="125" spans="1:16" ht="12.75" customHeight="1" x14ac:dyDescent="0.25">
      <c r="A125" s="18" t="s">
        <v>214</v>
      </c>
      <c r="B125" s="4" t="s">
        <v>215</v>
      </c>
      <c r="C125" s="42">
        <f t="shared" ref="C125:L125" si="16">(C36-C18-C20-C33)*C124</f>
        <v>0</v>
      </c>
      <c r="D125" s="42">
        <f t="shared" si="16"/>
        <v>0</v>
      </c>
      <c r="E125" s="42">
        <f t="shared" si="16"/>
        <v>0</v>
      </c>
      <c r="F125" s="42">
        <f t="shared" si="16"/>
        <v>0</v>
      </c>
      <c r="G125" s="42">
        <f t="shared" si="16"/>
        <v>1140.3647999999998</v>
      </c>
      <c r="H125" s="42">
        <f t="shared" si="16"/>
        <v>528.99660000000006</v>
      </c>
      <c r="I125" s="42">
        <f t="shared" si="16"/>
        <v>938.38739999999996</v>
      </c>
      <c r="J125" s="42">
        <f t="shared" si="16"/>
        <v>780.05175599999984</v>
      </c>
      <c r="K125" s="42">
        <f t="shared" si="16"/>
        <v>951.71143019999988</v>
      </c>
      <c r="L125" s="42">
        <f t="shared" si="16"/>
        <v>855.08661600000005</v>
      </c>
      <c r="M125" s="42"/>
      <c r="N125" s="42"/>
      <c r="O125" s="42"/>
      <c r="P125" s="43">
        <f>SUM(C125:O125)</f>
        <v>5194.5986021999997</v>
      </c>
    </row>
    <row r="126" spans="1:16" ht="12.75" customHeight="1" x14ac:dyDescent="0.25">
      <c r="A126" s="18" t="s">
        <v>216</v>
      </c>
      <c r="B126" s="4" t="s">
        <v>217</v>
      </c>
      <c r="C126" s="42">
        <f t="shared" ref="C126:L126" si="17">(C36-C18-C20-C33)*0</f>
        <v>0</v>
      </c>
      <c r="D126" s="42">
        <f t="shared" si="17"/>
        <v>0</v>
      </c>
      <c r="E126" s="42">
        <f t="shared" si="17"/>
        <v>0</v>
      </c>
      <c r="F126" s="42">
        <f t="shared" si="17"/>
        <v>0</v>
      </c>
      <c r="G126" s="42">
        <f t="shared" si="17"/>
        <v>0</v>
      </c>
      <c r="H126" s="42">
        <f t="shared" si="17"/>
        <v>0</v>
      </c>
      <c r="I126" s="42">
        <f t="shared" si="17"/>
        <v>0</v>
      </c>
      <c r="J126" s="42">
        <f t="shared" si="17"/>
        <v>0</v>
      </c>
      <c r="K126" s="42">
        <f t="shared" si="17"/>
        <v>0</v>
      </c>
      <c r="L126" s="42">
        <f t="shared" si="17"/>
        <v>0</v>
      </c>
      <c r="M126" s="42"/>
      <c r="N126" s="42"/>
      <c r="O126" s="42"/>
      <c r="P126" s="43">
        <f>(P36-P18-P20-P33)*0</f>
        <v>0</v>
      </c>
    </row>
    <row r="127" spans="1:16" ht="12.75" customHeight="1" x14ac:dyDescent="0.25">
      <c r="A127" s="18">
        <v>6.2</v>
      </c>
      <c r="B127" s="4" t="s">
        <v>218</v>
      </c>
      <c r="C127" s="42"/>
      <c r="D127" s="42">
        <f t="shared" ref="D127:L127" si="18">C129</f>
        <v>7421.6345821599998</v>
      </c>
      <c r="E127" s="42">
        <f t="shared" si="18"/>
        <v>10139.984105002333</v>
      </c>
      <c r="F127" s="42">
        <f t="shared" si="18"/>
        <v>10052.525468939843</v>
      </c>
      <c r="G127" s="42">
        <f t="shared" si="18"/>
        <v>16868.362403935425</v>
      </c>
      <c r="H127" s="42">
        <f t="shared" si="18"/>
        <v>24141.31445320182</v>
      </c>
      <c r="I127" s="42">
        <f t="shared" si="18"/>
        <v>29012.964839423494</v>
      </c>
      <c r="J127" s="42">
        <f t="shared" si="18"/>
        <v>33897.728584879427</v>
      </c>
      <c r="K127" s="42">
        <f t="shared" si="18"/>
        <v>37020.956907958091</v>
      </c>
      <c r="L127" s="42">
        <f t="shared" si="18"/>
        <v>44305.727862207081</v>
      </c>
      <c r="M127" s="42"/>
      <c r="N127" s="42"/>
      <c r="O127" s="42"/>
      <c r="P127" s="43"/>
    </row>
    <row r="128" spans="1:16" ht="12.75" customHeight="1" x14ac:dyDescent="0.25">
      <c r="A128" s="18"/>
      <c r="B128" s="4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3"/>
    </row>
    <row r="129" spans="1:16" ht="12.75" customHeight="1" x14ac:dyDescent="0.25">
      <c r="A129" s="22">
        <v>7</v>
      </c>
      <c r="B129" s="13" t="s">
        <v>219</v>
      </c>
      <c r="C129" s="50">
        <f t="shared" ref="C129:L129" si="19">C121-SUM(C125:C126)+IF(ISBLANK(C127), 0, C127)</f>
        <v>7421.6345821599998</v>
      </c>
      <c r="D129" s="50">
        <f t="shared" si="19"/>
        <v>10139.984105002333</v>
      </c>
      <c r="E129" s="50">
        <f t="shared" si="19"/>
        <v>10052.525468939843</v>
      </c>
      <c r="F129" s="50">
        <f t="shared" si="19"/>
        <v>16868.362403935425</v>
      </c>
      <c r="G129" s="50">
        <f t="shared" si="19"/>
        <v>24141.31445320182</v>
      </c>
      <c r="H129" s="50">
        <f t="shared" si="19"/>
        <v>29012.964839423494</v>
      </c>
      <c r="I129" s="50">
        <f t="shared" si="19"/>
        <v>33897.728584879427</v>
      </c>
      <c r="J129" s="50">
        <f t="shared" si="19"/>
        <v>37020.956907958091</v>
      </c>
      <c r="K129" s="50">
        <f t="shared" si="19"/>
        <v>44305.727862207081</v>
      </c>
      <c r="L129" s="50">
        <f t="shared" si="19"/>
        <v>51400.076532066276</v>
      </c>
      <c r="M129" s="50"/>
      <c r="N129" s="50"/>
      <c r="O129" s="50"/>
      <c r="P129" s="51">
        <f>P121-SUM(P125:P126)+IF(ISBLANK(P127), 0, P127)</f>
        <v>51400.07653206629</v>
      </c>
    </row>
    <row r="130" spans="1:16" ht="12.75" customHeight="1" x14ac:dyDescent="0.25">
      <c r="A130" s="23"/>
      <c r="B130" s="12" t="s">
        <v>220</v>
      </c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3"/>
    </row>
  </sheetData>
  <sheetProtection formatCells="0" formatColumns="0" formatRows="0" insertColumns="0" insertRows="0" insertHyperlinks="0" deleteColumns="0" deleteRows="0" sort="0" autoFilter="0" pivotTables="0"/>
  <mergeCells count="3">
    <mergeCell ref="G6:I7"/>
    <mergeCell ref="G11:I11"/>
    <mergeCell ref="O7:P8"/>
  </mergeCells>
  <phoneticPr fontId="6" type="noConversion"/>
  <printOptions horizontalCentered="1"/>
  <pageMargins left="3.9370078740157001E-2" right="3.9370078740157001E-2" top="0.23622047244093999" bottom="7.8740157480315001E-2" header="7.8740157480315001E-2" footer="7.8740157480315001E-2"/>
  <pageSetup paperSize="9" scale="55" fitToHeight="0" orientation="landscape" r:id="rId1"/>
  <headerFooter>
    <oddHeader>&amp;R&amp;"Times New Roman,Bold"&amp;10Page No.: &amp;P of &amp;N &amp;K00+000*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5</vt:i4>
      </vt:variant>
    </vt:vector>
  </HeadingPairs>
  <TitlesOfParts>
    <vt:vector size="10" baseType="lpstr">
      <vt:lpstr>Financial Status</vt:lpstr>
      <vt:lpstr>Projection</vt:lpstr>
      <vt:lpstr>Committed Cost</vt:lpstr>
      <vt:lpstr>Accrual</vt:lpstr>
      <vt:lpstr>Cash Flow</vt:lpstr>
      <vt:lpstr>Accrual!Print_Titles</vt:lpstr>
      <vt:lpstr>'Cash Flow'!Print_Titles</vt:lpstr>
      <vt:lpstr>'Committed Cost'!Print_Titles</vt:lpstr>
      <vt:lpstr>'Financial Status'!Print_Titles</vt:lpstr>
      <vt:lpstr>Projection!Print_Titles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ACHILLES POON WAI CHEUNG</dc:creator>
  <cp:keywords/>
  <dc:description/>
  <cp:lastModifiedBy>BECKY FU YING</cp:lastModifiedBy>
  <dcterms:created xsi:type="dcterms:W3CDTF">2018-06-13T07:41:00Z</dcterms:created>
  <dcterms:modified xsi:type="dcterms:W3CDTF">2026-01-15T07:47:09Z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a3e5c1bc-b50d-47a3-bb43-7580790a230c</vt:lpwstr>
  </property>
</Properties>
</file>