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<sst xmlns="http://schemas.openxmlformats.org/spreadsheetml/2006/main" uniqueCount="237">
  <si>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Chun Wo Construction &amp; Engineering Company Limited</t>
  </si>
  <si>
    <t>Print Date: 2026-01-19</t>
  </si>
  <si>
    <t>Project Code:</t>
  </si>
  <si>
    <t>Project Name:</t>
  </si>
  <si>
    <t>Site Formation and Foundation Works For Campus Expansion at Ho Man Tin Slope for the Hong Kong Polytechnic University</t>
  </si>
  <si>
    <t>Report Date:</t>
  </si>
  <si>
    <t>2025-12-31</t>
  </si>
  <si>
    <t>Start Date:</t>
  </si>
  <si>
    <t>2020-10-23</t>
  </si>
  <si>
    <t>Monthly Financial Report</t>
  </si>
  <si>
    <t>Complete Date:</t>
  </si>
  <si>
    <t>2023-04-10                                Time Consumed (%):</t>
  </si>
  <si>
    <t>Confidential</t>
  </si>
  <si>
    <t>Target Complete Date:</t>
  </si>
  <si>
    <t>2026-06-30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</si>
  <si>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</si>
  <si>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</si>
  <si>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</si>
  <si>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</si>
  <si>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</si>
  <si>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</si>
  <si>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</si>
  <si>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</si>
  <si>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</si>
  <si>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</si>
  <si>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</si>
  <si>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</si>
  <si>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</si>
  <si>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</si>
  <si>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</si>
  <si>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</si>
  <si>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</si>
  <si>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</si>
  <si>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</si>
  <si>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</si>
  <si>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</si>
  <si>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</si>
  <si>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</si>
  <si>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</si>
  <si>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</si>
  <si>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</si>
  <si>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</si>
  <si>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</si>
  <si>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</si>
  <si>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</si>
  <si>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</si>
  <si>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</si>
  <si>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</si>
  <si>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</si>
  <si>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</si>
  <si>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</si>
  <si>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</si>
  <si>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</si>
  <si>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</si>
  <si>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</si>
  <si>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</si>
  <si>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</si>
  <si>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</si>
  <si>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</si>
  <si>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</si>
  <si>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</si>
  <si>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</si>
  <si>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</si>
  <si>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</si>
  <si>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</si>
  <si>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</si>
  <si>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</si>
  <si>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</si>
  <si>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</si>
  <si>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</si>
  <si>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</si>
  <si>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</si>
  <si>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</si>
  <si>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</si>
  <si>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</si>
  <si>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</si>
  <si>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</si>
  <si>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</si>
  <si>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</si>
  <si>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</si>
  <si>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</si>
  <si>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</si>
  <si>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</si>
  <si>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</si>
  <si>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</si>
  <si>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</si>
  <si>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</si>
  <si>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</si>
  <si>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</si>
  <si>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</si>
  <si>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</si>
  <si>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</si>
  <si>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</si>
  <si>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</si>
  <si>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</si>
  <si>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</si>
  <si>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</si>
  <si>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</si>
  <si>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</si>
  <si>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</si>
  <si>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</si>
  <si>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</si>
  <si>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</si>
  <si>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</si>
  <si>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</si>
  <si>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</si>
  <si>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</si>
  <si>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</si>
  <si>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</si>
  <si>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</si>
  <si>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</si>
  <si>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</si>
  <si>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</si>
  <si>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</si>
  <si>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</si>
  <si>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</si>
  <si>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</si>
  <si>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</si>
  <si>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</si>
  <si>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</si>
  <si>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</si>
  <si>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</si>
  <si>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</si>
  <si>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</si>
  <si>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</si>
  <si>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</si>
  <si>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</si>
  <si>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</si>
  <si>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</si>
  <si>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</si>
  <si>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</si>
  <si>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</si>
  <si>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</si>
  <si>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</si>
  <si>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</si>
  <si>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</si>
  <si>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</si>
  <si>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</si>
  <si>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</si>
  <si>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</si>
  <si>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</si>
  <si>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</si>
  <si>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</si>
  <si>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</si>
  <si>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</si>
  <si>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</si>
  <si>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</si>
  <si>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</si>
  <si>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</si>
  <si>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</si>
  <si>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</si>
  <si>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</si>
  <si>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</si>
  <si>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</si>
  <si>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</si>
  <si>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</si>
  <si>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</si>
  <si>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</si>
  <si>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</si>
  <si>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</si>
  <si>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</si>
  <si>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</si>
  <si>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</si>
  <si>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</si>
  <si>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</si>
  <si>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</si>
  <si>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</si>
  <si>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</si>
  <si>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</si>
  <si>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</si>
  <si>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</si>
  <si>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</si>
  <si>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</si>
  <si>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</si>
  <si>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</si>
  <si>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</si>
  <si>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</si>
  <si>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</si>
  <si>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</si>
  <si>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</si>
  <si>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</si>
  <si>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</si>
  <si>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</si>
  <si>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</si>
  <si>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</si>
  <si>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</si>
  <si>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</si>
  <si>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</si>
  <si>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</si>
  <si>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</si>
  <si>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</si>
  <si>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</si>
  <si>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</si>
  <si>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</si>
  <si>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</si>
  <si>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</si>
  <si>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</si>
  <si>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</si>
  <si>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</si>
  <si>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</si>
  <si>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</si>
  <si>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</si>
  <si>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</si>
  <si>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</si>
  <si>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</si>
  <si>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</si>
  <si>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</si>
  <si>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</si>
  <si>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</si>
  <si>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</si>
  <si>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</si>
  <si>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</si>
  <si>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</si>
  <si>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</si>
  <si>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</si>
  <si>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</si>
  <si>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</si>
  <si>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(1.0000%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</si>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</sst>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1014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324198.019</v>
      </c>
      <c r="D17" s="43">
        <v>324198</v>
      </c>
      <c r="E17" s="43">
        <v>0</v>
      </c>
      <c r="F17" s="43">
        <f>D17+E17</f>
        <v>324198</v>
      </c>
      <c r="G17" s="43">
        <v>324198</v>
      </c>
      <c r="H17" s="43">
        <v>324198</v>
      </c>
      <c r="I17" s="43">
        <f>IF(H17="", "", J17-H17)</f>
        <v>0</v>
      </c>
      <c r="J17" s="43">
        <f>IF(ISBLANK(Projection!P14), "", Projection!P14)</f>
        <v>324198</v>
      </c>
      <c r="K17" s="43">
        <f>IF(ISBLANK('Committed Cost'!P14), "", 'Committed Cost'!P14)</f>
        <v>323190</v>
      </c>
      <c r="L17" s="37">
        <f>IFERROR(IF(ISBLANK(F17), "", K17/F17), 0)</f>
        <v>0.9968907889623</v>
      </c>
      <c r="M17" s="43">
        <f>IF(F17="", "", F17-K17)</f>
        <v>1008</v>
      </c>
      <c r="N17" s="43">
        <f>IF(ISBLANK(Accrual!P14), "", Accrual!P14)</f>
        <v>253022</v>
      </c>
      <c r="O17" s="43">
        <f>IF(ISBLANK('Cash Flow'!P14), "",'Cash Flow'!P14)</f>
        <v>251902</v>
      </c>
      <c r="P17" s="37">
        <f>IFERROR(IF(O17="", "", O17/K17), 0)</f>
        <v>0.77942386831276</v>
      </c>
      <c r="Q17" s="44">
        <f>IF(K17="", "", K17-O17)</f>
        <v>71288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0</v>
      </c>
      <c r="D19" s="43">
        <v>46383</v>
      </c>
      <c r="E19" s="43">
        <v>0</v>
      </c>
      <c r="F19" s="43">
        <f>D19+E19</f>
        <v>46383</v>
      </c>
      <c r="G19" s="43">
        <v>76910</v>
      </c>
      <c r="H19" s="43">
        <v>76910</v>
      </c>
      <c r="I19" s="43">
        <f>IF(H19="", "", J19-H19)</f>
        <v>0</v>
      </c>
      <c r="J19" s="43">
        <f>IF(ISBLANK(Projection!P16), "", Projection!P16)</f>
        <v>76910</v>
      </c>
      <c r="K19" s="43">
        <f>IF(ISBLANK('Committed Cost'!P16), "", 'Committed Cost'!P16)</f>
        <v>751.66</v>
      </c>
      <c r="L19" s="37">
        <f>IFERROR(IF(ISBLANK(F19), "", K19/F19), 0)</f>
        <v>0.016205506327749</v>
      </c>
      <c r="M19" s="43">
        <f>IF(F19="", "", F19-K19)</f>
        <v>45631.34</v>
      </c>
      <c r="N19" s="43">
        <f>IF(ISBLANK(Accrual!P16), "", Accrual!P16)</f>
        <v>773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751.66</v>
      </c>
    </row>
    <row r="20" spans="1:18" customHeight="1" ht="12.75" hidden="true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0</v>
      </c>
      <c r="H20" s="43">
        <v>0</v>
      </c>
      <c r="I20" s="43">
        <f>IF(H20="", "", J20-H20)</f>
        <v>0</v>
      </c>
      <c r="J20" s="43">
        <f>IF(ISBLANK(Projection!P17), "", Projection!P17)</f>
        <v>0</v>
      </c>
      <c r="K20" s="43">
        <f>IF(ISBLANK('Committed Cost'!P17), "", 'Committed Cost'!P17)</f>
        <v>0</v>
      </c>
      <c r="L20" s="37">
        <f>IFERROR(IF(ISBLANK(F20), "", K20/F20), 0)</f>
        <v>0</v>
      </c>
      <c r="M20" s="43">
        <f>IF(F20="", "", F20-K20)</f>
        <v>0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0</v>
      </c>
    </row>
    <row r="21" spans="1:18" customHeight="1" ht="12.75" hidden="true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0</v>
      </c>
      <c r="H21" s="43">
        <v>0</v>
      </c>
      <c r="I21" s="43">
        <f>IF(H21="", "", J21-H21)</f>
        <v>0</v>
      </c>
      <c r="J21" s="43">
        <f>IF(ISBLANK(Projection!P18), "", Projection!P18)</f>
        <v>0</v>
      </c>
      <c r="K21" s="43">
        <f>IF(ISBLANK('Committed Cost'!P18), "", 'Committed Cost'!P18)</f>
        <v>0</v>
      </c>
      <c r="L21" s="37">
        <f>IFERROR(IF(ISBLANK(F21), "", K21/F21), 0)</f>
        <v>0</v>
      </c>
      <c r="M21" s="43">
        <f>IF(F21="", "", F21-K21)</f>
        <v>0</v>
      </c>
      <c r="N21" s="43">
        <f>IF(ISBLANK(Accrual!P18), "", Accrual!P18)</f>
        <v>0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0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243871</v>
      </c>
      <c r="H25" s="43">
        <v>243871</v>
      </c>
      <c r="I25" s="43">
        <f>IF(H25="", "", J25-H25)</f>
        <v>0</v>
      </c>
      <c r="J25" s="43">
        <f>IF(ISBLANK(Projection!P22), "", Projection!P22)</f>
        <v>243871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0</v>
      </c>
      <c r="D26" s="43">
        <v>18750</v>
      </c>
      <c r="E26" s="43">
        <v>0</v>
      </c>
      <c r="F26" s="43">
        <f>D26+E26</f>
        <v>18750</v>
      </c>
      <c r="G26" s="43">
        <v>21301</v>
      </c>
      <c r="H26" s="43">
        <v>21301</v>
      </c>
      <c r="I26" s="43">
        <f>IF(H26="", "", J26-H26)</f>
        <v>0</v>
      </c>
      <c r="J26" s="43">
        <f>IF(ISBLANK(Projection!P23), "", Projection!P23)</f>
        <v>21301</v>
      </c>
      <c r="K26" s="43">
        <f>IF(ISBLANK('Committed Cost'!P23), "", 'Committed Cost'!P23)</f>
        <v>10104</v>
      </c>
      <c r="L26" s="37">
        <f>IFERROR(IF(ISBLANK(F26), "", K26/F26), 0)</f>
        <v>0.53888</v>
      </c>
      <c r="M26" s="43">
        <f>IF(F26="", "", F26-K26)</f>
        <v>8646</v>
      </c>
      <c r="N26" s="43">
        <f>IF(ISBLANK(Accrual!P23), "", Accrual!P23)</f>
        <v>12900</v>
      </c>
      <c r="O26" s="43">
        <f>IF(ISBLANK('Cash Flow'!P23), "",'Cash Flow'!P23)</f>
        <v>12621</v>
      </c>
      <c r="P26" s="37">
        <f>IFERROR(IF(O26="", "", O26/K26), 0)</f>
        <v>1.249109263658</v>
      </c>
      <c r="Q26" s="44">
        <f>IF(K26="", "", K26-O26)</f>
        <v>-2517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-1500</v>
      </c>
      <c r="E28" s="43">
        <v>0</v>
      </c>
      <c r="F28" s="43">
        <f>D28+E28</f>
        <v>-1500</v>
      </c>
      <c r="G28" s="43">
        <v>0</v>
      </c>
      <c r="H28" s="43">
        <v>0</v>
      </c>
      <c r="I28" s="43">
        <f>IF(H28="", "", J28-H28)</f>
        <v>0</v>
      </c>
      <c r="J28" s="43">
        <f>IF(ISBLANK(Projection!P25), "", Projection!P25)</f>
        <v>0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-1500</v>
      </c>
      <c r="N28" s="43">
        <f>IF(ISBLANK(Accrual!P25), "", Accrual!P25)</f>
        <v>0</v>
      </c>
      <c r="O28" s="43">
        <f>IF(ISBLANK('Cash Flow'!P25), "",'Cash Flow'!P25)</f>
        <v>13251.2</v>
      </c>
      <c r="P28" s="37">
        <f>IFERROR(IF(O28="", "", O28/K28), 0)</f>
        <v>0</v>
      </c>
      <c r="Q28" s="44">
        <f>IF(K28="", "", K28-O28)</f>
        <v>-13251.2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 hidden="true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0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 hidden="true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0</v>
      </c>
      <c r="H32" s="43">
        <v>0</v>
      </c>
      <c r="I32" s="43">
        <f>IF(H32="", "", J32-H32)</f>
        <v>0</v>
      </c>
      <c r="J32" s="43">
        <f>IF(ISBLANK(Projection!P29), "", Projection!P29)</f>
        <v>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0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 hidden="true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0</v>
      </c>
      <c r="P35" s="37">
        <f>IFERROR(IF(O35="", "", O35/K35), 0)</f>
        <v>0</v>
      </c>
      <c r="Q35" s="44">
        <f>IF(K35="", "", K35-O35)</f>
        <v>0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324198.019</v>
      </c>
      <c r="D39" s="47">
        <f>SUM(D15:D38)</f>
        <v>387831</v>
      </c>
      <c r="E39" s="47">
        <f>SUM(E15:E38)</f>
        <v>0</v>
      </c>
      <c r="F39" s="47">
        <f>SUM(F15:F38)</f>
        <v>387831</v>
      </c>
      <c r="G39" s="47">
        <f>SUM(G15:G38)</f>
        <v>666280</v>
      </c>
      <c r="H39" s="47">
        <f>SUM(H15:H38)</f>
        <v>666280</v>
      </c>
      <c r="I39" s="47">
        <f>IF(H39="", "", J39-H39)</f>
        <v>0</v>
      </c>
      <c r="J39" s="47">
        <f>IF(ISBLANK(Projection!P36), "", Projection!P36)</f>
        <v>666280</v>
      </c>
      <c r="K39" s="47">
        <f>IF(ISBLANK('Committed Cost'!P36), "", 'Committed Cost'!P36)</f>
        <v>334045.66</v>
      </c>
      <c r="L39" s="39">
        <f>IFERROR(IF(ISBLANK(F39), "", K39/F39), 0)</f>
        <v>0.86131758420549</v>
      </c>
      <c r="M39" s="47">
        <f>IF(F39="", "", F39-K39)</f>
        <v>53785.34</v>
      </c>
      <c r="N39" s="47">
        <f>IF(ISBLANK(Accrual!P36), "", Accrual!P36)</f>
        <v>266695</v>
      </c>
      <c r="O39" s="47">
        <f>IF(ISBLANK('Cash Flow'!P36), "",'Cash Flow'!P36)</f>
        <v>277774.2</v>
      </c>
      <c r="P39" s="39">
        <f>IFERROR(IF(O39="", "", O39/K39), 0)</f>
        <v>0.83154560367586</v>
      </c>
      <c r="Q39" s="48">
        <f>IF(K39="", "", K39-O39)</f>
        <v>56271.46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21495.258</v>
      </c>
      <c r="D43" s="43">
        <v>23880.0</v>
      </c>
      <c r="E43" s="43">
        <v>0.0</v>
      </c>
      <c r="F43" s="43">
        <f>D43+E43</f>
        <v>23880</v>
      </c>
      <c r="G43" s="43">
        <v>50051</v>
      </c>
      <c r="H43" s="43">
        <v>50051</v>
      </c>
      <c r="I43" s="43">
        <f>IF(H43="", "", J43-H43)</f>
        <v>0</v>
      </c>
      <c r="J43" s="43">
        <f>IF(ISBLANK(Projection!P40), "", Projection!P40)</f>
        <v>50051</v>
      </c>
      <c r="K43" s="43">
        <f>IF(ISBLANK('Committed Cost'!P40), "", 'Committed Cost'!P40)</f>
        <v>49267.20251</v>
      </c>
      <c r="L43" s="37">
        <f>IFERROR(IF(ISBLANK(F43), "", K43/F43), 0)</f>
        <v>2.0631156829983</v>
      </c>
      <c r="M43" s="43">
        <f>IF(F43="", "", F43-K43)</f>
        <v>-25387.20251</v>
      </c>
      <c r="N43" s="43">
        <f>IF(ISBLANK(Accrual!P40), "", Accrual!P40)</f>
        <v>49267.20251</v>
      </c>
      <c r="O43" s="43">
        <f>IF(ISBLANK('Cash Flow'!P40), "",'Cash Flow'!P40)</f>
        <v>49267.20251</v>
      </c>
      <c r="P43" s="37">
        <f>IFERROR(IF(O43="", "", O43/K43), 0)</f>
        <v>1</v>
      </c>
      <c r="Q43" s="44">
        <f>IF(K43="", "", K43-O43)</f>
        <v>0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12</v>
      </c>
      <c r="H44" s="43">
        <v>12</v>
      </c>
      <c r="I44" s="43">
        <f>IF(H44="", "", J44-H44)</f>
        <v>307</v>
      </c>
      <c r="J44" s="43">
        <f>IF(ISBLANK(Projection!P41), "", Projection!P41)</f>
        <v>319</v>
      </c>
      <c r="K44" s="43">
        <f>IF(ISBLANK('Committed Cost'!P41), "", 'Committed Cost'!P41)</f>
        <v>212.24669</v>
      </c>
      <c r="L44" s="37">
        <f>IFERROR(IF(ISBLANK(F44), "", K44/F44), 0)</f>
        <v>0</v>
      </c>
      <c r="M44" s="43">
        <f>IF(F44="", "", F44-K44)</f>
        <v>-212.24669</v>
      </c>
      <c r="N44" s="43">
        <f>IF(ISBLANK(Accrual!P41), "", Accrual!P41)</f>
        <v>212.24669</v>
      </c>
      <c r="O44" s="43">
        <f>IF(ISBLANK('Cash Flow'!P41), "",'Cash Flow'!P41)</f>
        <v>212.24669</v>
      </c>
      <c r="P44" s="37">
        <f>IFERROR(IF(O44="", "", O44/K44), 0)</f>
        <v>1</v>
      </c>
      <c r="Q44" s="44">
        <f>IF(K44="", "", K44-O44)</f>
        <v>0</v>
      </c>
    </row>
    <row r="45" spans="1:18" customHeight="1" ht="12.75" hidden="true">
      <c r="A45" s="18" t="s">
        <v>85</v>
      </c>
      <c r="B45" s="4" t="s">
        <v>86</v>
      </c>
      <c r="C45" s="43">
        <v>0.0</v>
      </c>
      <c r="D45" s="43">
        <v>0.0</v>
      </c>
      <c r="E45" s="43">
        <v>0.0</v>
      </c>
      <c r="F45" s="43">
        <f>D45+E45</f>
        <v>0</v>
      </c>
      <c r="G45" s="43">
        <v>0</v>
      </c>
      <c r="H45" s="43">
        <v>0</v>
      </c>
      <c r="I45" s="43">
        <f>IF(H45="", "", J45-H45)</f>
        <v>0</v>
      </c>
      <c r="J45" s="43">
        <f>IF(ISBLANK(Projection!P42), "", Projection!P42)</f>
        <v>0</v>
      </c>
      <c r="K45" s="43">
        <f>IF(ISBLANK('Committed Cost'!P42), "", 'Committed Cost'!P42)</f>
        <v>0</v>
      </c>
      <c r="L45" s="37">
        <f>IFERROR(IF(ISBLANK(F45), "", K45/F45), 0)</f>
        <v>0</v>
      </c>
      <c r="M45" s="43">
        <f>IF(F45="", "", F45-K45)</f>
        <v>0</v>
      </c>
      <c r="N45" s="43">
        <f>IF(ISBLANK(Accrual!P42), "", Accrual!P42)</f>
        <v>0</v>
      </c>
      <c r="O45" s="43">
        <f>IF(ISBLANK('Cash Flow'!P42), "",'Cash Flow'!P42)</f>
        <v>0</v>
      </c>
      <c r="P45" s="37">
        <f>IFERROR(IF(O45="", "", O45/K45), 0)</f>
        <v>0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0</v>
      </c>
      <c r="D46" s="43">
        <v>0</v>
      </c>
      <c r="E46" s="43">
        <v>0</v>
      </c>
      <c r="F46" s="43">
        <f>D46+E46</f>
        <v>0</v>
      </c>
      <c r="G46" s="43">
        <v>8408</v>
      </c>
      <c r="H46" s="43">
        <v>8408</v>
      </c>
      <c r="I46" s="43">
        <f>IF(H46="", "", J46-H46)</f>
        <v>-600</v>
      </c>
      <c r="J46" s="43">
        <f>IF(ISBLANK(Projection!P43), "", Projection!P43)</f>
        <v>7808</v>
      </c>
      <c r="K46" s="43">
        <f>IF(ISBLANK('Committed Cost'!P43), "", 'Committed Cost'!P43)</f>
        <v>7576.89828</v>
      </c>
      <c r="L46" s="37">
        <f>IFERROR(IF(ISBLANK(F46), "", K46/F46), 0)</f>
        <v>0</v>
      </c>
      <c r="M46" s="43">
        <f>IF(F46="", "", F46-K46)</f>
        <v>-7576.89828</v>
      </c>
      <c r="N46" s="43">
        <f>IF(ISBLANK(Accrual!P43), "", Accrual!P43)</f>
        <v>7576.89828</v>
      </c>
      <c r="O46" s="43">
        <f>IF(ISBLANK('Cash Flow'!P43), "",'Cash Flow'!P43)</f>
        <v>7576.89828</v>
      </c>
      <c r="P46" s="37">
        <f>IFERROR(IF(O46="", "", O46/K46), 0)</f>
        <v>1</v>
      </c>
      <c r="Q46" s="44">
        <f>IF(K46="", "", K46-O46)</f>
        <v>0</v>
      </c>
    </row>
    <row r="47" spans="1:18" customHeight="1" ht="12.75">
      <c r="A47" s="18" t="s">
        <v>89</v>
      </c>
      <c r="B47" s="4" t="s">
        <v>90</v>
      </c>
      <c r="C47" s="43">
        <v>10142.532</v>
      </c>
      <c r="D47" s="43">
        <v>8555.973</v>
      </c>
      <c r="E47" s="43">
        <v>0.0</v>
      </c>
      <c r="F47" s="43">
        <f>D47+E47</f>
        <v>8555.973</v>
      </c>
      <c r="G47" s="43">
        <v>12550</v>
      </c>
      <c r="H47" s="43">
        <v>12550</v>
      </c>
      <c r="I47" s="43">
        <f>IF(H47="", "", J47-H47)</f>
        <v>0</v>
      </c>
      <c r="J47" s="43">
        <f>IF(ISBLANK(Projection!P44), "", Projection!P44)</f>
        <v>12550</v>
      </c>
      <c r="K47" s="43">
        <f>IF(ISBLANK('Committed Cost'!P44), "", 'Committed Cost'!P44)</f>
        <v>11600.89867</v>
      </c>
      <c r="L47" s="37">
        <f>IFERROR(IF(ISBLANK(F47), "", K47/F47), 0)</f>
        <v>1.3558830386678</v>
      </c>
      <c r="M47" s="43">
        <f>IF(F47="", "", F47-K47)</f>
        <v>-3044.92567</v>
      </c>
      <c r="N47" s="43">
        <f>IF(ISBLANK(Accrual!P44), "", Accrual!P44)</f>
        <v>11600.89867</v>
      </c>
      <c r="O47" s="43">
        <f>IF(ISBLANK('Cash Flow'!P44), "",'Cash Flow'!P44)</f>
        <v>11600.89867</v>
      </c>
      <c r="P47" s="37">
        <f>IFERROR(IF(O47="", "", O47/K47), 0)</f>
        <v>1</v>
      </c>
      <c r="Q47" s="44">
        <f>IF(K47="", "", K47-O47)</f>
        <v>1.8189894035459E-12</v>
      </c>
    </row>
    <row r="48" spans="1:18" customHeight="1" ht="12.75">
      <c r="A48" s="18" t="s">
        <v>91</v>
      </c>
      <c r="B48" s="4" t="s">
        <v>92</v>
      </c>
      <c r="C48" s="43">
        <v>6595.1726</v>
      </c>
      <c r="D48" s="43">
        <v>8495.8488365</v>
      </c>
      <c r="E48" s="43">
        <v>0.0</v>
      </c>
      <c r="F48" s="43">
        <f>D48+E48</f>
        <v>8495.8488365</v>
      </c>
      <c r="G48" s="43">
        <v>32111</v>
      </c>
      <c r="H48" s="43">
        <v>32111</v>
      </c>
      <c r="I48" s="43">
        <f>IF(H48="", "", J48-H48)</f>
        <v>0</v>
      </c>
      <c r="J48" s="43">
        <f>IF(ISBLANK(Projection!P45), "", Projection!P45)</f>
        <v>32111</v>
      </c>
      <c r="K48" s="43">
        <f>IF(ISBLANK('Committed Cost'!P45), "", 'Committed Cost'!P45)</f>
        <v>26490.10439</v>
      </c>
      <c r="L48" s="37">
        <f>IFERROR(IF(ISBLANK(F48), "", K48/F48), 0)</f>
        <v>3.118005616601</v>
      </c>
      <c r="M48" s="43">
        <f>IF(F48="", "", F48-K48)</f>
        <v>-17994.2555535</v>
      </c>
      <c r="N48" s="43">
        <f>IF(ISBLANK(Accrual!P45), "", Accrual!P45)</f>
        <v>26170.48756</v>
      </c>
      <c r="O48" s="43">
        <f>IF(ISBLANK('Cash Flow'!P45), "",'Cash Flow'!P45)</f>
        <v>25929.83824</v>
      </c>
      <c r="P48" s="37">
        <f>IFERROR(IF(O48="", "", O48/K48), 0)</f>
        <v>0.9788499833088</v>
      </c>
      <c r="Q48" s="44">
        <f>IF(K48="", "", K48-O48)</f>
        <v>560.26615</v>
      </c>
    </row>
    <row r="49" spans="1:18" customHeight="1" ht="12.75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954</v>
      </c>
      <c r="H49" s="43">
        <v>954</v>
      </c>
      <c r="I49" s="43">
        <f>IF(H49="", "", J49-H49)</f>
        <v>0</v>
      </c>
      <c r="J49" s="43">
        <f>IF(ISBLANK(Projection!P46), "", Projection!P46)</f>
        <v>954</v>
      </c>
      <c r="K49" s="43">
        <f>IF(ISBLANK('Committed Cost'!P46), "", 'Committed Cost'!P46)</f>
        <v>658.2</v>
      </c>
      <c r="L49" s="37">
        <f>IFERROR(IF(ISBLANK(F49), "", K49/F49), 0)</f>
        <v>0</v>
      </c>
      <c r="M49" s="43">
        <f>IF(F49="", "", F49-K49)</f>
        <v>-658.2</v>
      </c>
      <c r="N49" s="43">
        <f>IF(ISBLANK(Accrual!P46), "", Accrual!P46)</f>
        <v>658.2</v>
      </c>
      <c r="O49" s="43">
        <f>IF(ISBLANK('Cash Flow'!P46), "",'Cash Flow'!P46)</f>
        <v>658.2</v>
      </c>
      <c r="P49" s="37">
        <f>IFERROR(IF(O49="", "", O49/K49), 0)</f>
        <v>1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0.0</v>
      </c>
      <c r="D50" s="43">
        <v>0.0</v>
      </c>
      <c r="E50" s="43">
        <v>0.0</v>
      </c>
      <c r="F50" s="43">
        <f>D50+E50</f>
        <v>0</v>
      </c>
      <c r="G50" s="43">
        <v>233</v>
      </c>
      <c r="H50" s="43">
        <v>233</v>
      </c>
      <c r="I50" s="43">
        <f>IF(H50="", "", J50-H50)</f>
        <v>0</v>
      </c>
      <c r="J50" s="43">
        <f>IF(ISBLANK(Projection!P47), "", Projection!P47)</f>
        <v>233</v>
      </c>
      <c r="K50" s="43">
        <f>IF(ISBLANK('Committed Cost'!P47), "", 'Committed Cost'!P47)</f>
        <v>171.36583</v>
      </c>
      <c r="L50" s="37">
        <f>IFERROR(IF(ISBLANK(F50), "", K50/F50), 0)</f>
        <v>0</v>
      </c>
      <c r="M50" s="43">
        <f>IF(F50="", "", F50-K50)</f>
        <v>-171.36583</v>
      </c>
      <c r="N50" s="43">
        <f>IF(ISBLANK(Accrual!P47), "", Accrual!P47)</f>
        <v>171.36583</v>
      </c>
      <c r="O50" s="43">
        <f>IF(ISBLANK('Cash Flow'!P47), "",'Cash Flow'!P47)</f>
        <v>165.63613</v>
      </c>
      <c r="P50" s="37">
        <f>IFERROR(IF(O50="", "", O50/K50), 0)</f>
        <v>0.96656451289035</v>
      </c>
      <c r="Q50" s="44">
        <f>IF(K50="", "", K50-O50)</f>
        <v>5.7297</v>
      </c>
    </row>
    <row r="51" spans="1:18" customHeight="1" ht="12.75">
      <c r="A51" s="18" t="s">
        <v>97</v>
      </c>
      <c r="B51" s="4" t="s">
        <v>98</v>
      </c>
      <c r="C51" s="43">
        <v>9375.6403</v>
      </c>
      <c r="D51" s="43">
        <v>30667.77882</v>
      </c>
      <c r="E51" s="43">
        <v>0.0</v>
      </c>
      <c r="F51" s="43">
        <f>D51+E51</f>
        <v>30667.77882</v>
      </c>
      <c r="G51" s="43">
        <v>13357.95</v>
      </c>
      <c r="H51" s="43">
        <v>13357.95</v>
      </c>
      <c r="I51" s="43">
        <f>IF(H51="", "", J51-H51)</f>
        <v>0</v>
      </c>
      <c r="J51" s="43">
        <f>IF(ISBLANK(Projection!P48), "", Projection!P48)</f>
        <v>13357.95</v>
      </c>
      <c r="K51" s="43">
        <f>IF(ISBLANK('Committed Cost'!P48), "", 'Committed Cost'!P48)</f>
        <v>12739.177</v>
      </c>
      <c r="L51" s="37">
        <f>IFERROR(IF(ISBLANK(F51), "", K51/F51), 0)</f>
        <v>0.41539288106813</v>
      </c>
      <c r="M51" s="43">
        <f>IF(F51="", "", F51-K51)</f>
        <v>17928.60182</v>
      </c>
      <c r="N51" s="43">
        <f>IF(ISBLANK(Accrual!P48), "", Accrual!P48)</f>
        <v>12675.103</v>
      </c>
      <c r="O51" s="43">
        <f>IF(ISBLANK('Cash Flow'!P48), "",'Cash Flow'!P48)</f>
        <v>12367.281</v>
      </c>
      <c r="P51" s="37">
        <f>IFERROR(IF(O51="", "", O51/K51), 0)</f>
        <v>0.97080690534404</v>
      </c>
      <c r="Q51" s="44">
        <f>IF(K51="", "", K51-O51)</f>
        <v>371.896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176.75</v>
      </c>
      <c r="D53" s="43">
        <v>1435.9148</v>
      </c>
      <c r="E53" s="43">
        <v>0.0</v>
      </c>
      <c r="F53" s="43">
        <f>D53+E53</f>
        <v>1435.9148</v>
      </c>
      <c r="G53" s="43">
        <v>3000</v>
      </c>
      <c r="H53" s="43">
        <v>3000</v>
      </c>
      <c r="I53" s="43">
        <f>IF(H53="", "", J53-H53)</f>
        <v>212</v>
      </c>
      <c r="J53" s="43">
        <f>IF(ISBLANK(Projection!P50), "", Projection!P50)</f>
        <v>3212</v>
      </c>
      <c r="K53" s="43">
        <f>IF(ISBLANK('Committed Cost'!P50), "", 'Committed Cost'!P50)</f>
        <v>3042.38837</v>
      </c>
      <c r="L53" s="37">
        <f>IFERROR(IF(ISBLANK(F53), "", K53/F53), 0)</f>
        <v>2.1187805641393</v>
      </c>
      <c r="M53" s="43">
        <f>IF(F53="", "", F53-K53)</f>
        <v>-1606.47357</v>
      </c>
      <c r="N53" s="43">
        <f>IF(ISBLANK(Accrual!P50), "", Accrual!P50)</f>
        <v>2944.67167</v>
      </c>
      <c r="O53" s="43">
        <f>IF(ISBLANK('Cash Flow'!P50), "",'Cash Flow'!P50)</f>
        <v>2732.19367</v>
      </c>
      <c r="P53" s="37">
        <f>IFERROR(IF(O53="", "", O53/K53), 0)</f>
        <v>0.89804237254562</v>
      </c>
      <c r="Q53" s="44">
        <f>IF(K53="", "", K53-O53)</f>
        <v>310.1947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0.0</v>
      </c>
      <c r="E57" s="43">
        <v>0.0</v>
      </c>
      <c r="F57" s="43">
        <f>D57+E57</f>
        <v>0</v>
      </c>
      <c r="G57" s="43">
        <v>730</v>
      </c>
      <c r="H57" s="43">
        <v>730</v>
      </c>
      <c r="I57" s="43">
        <f>IF(H57="", "", J57-H57)</f>
        <v>357</v>
      </c>
      <c r="J57" s="43">
        <f>IF(ISBLANK(Projection!P54), "", Projection!P54)</f>
        <v>1087</v>
      </c>
      <c r="K57" s="43">
        <f>IF(ISBLANK('Committed Cost'!P54), "", 'Committed Cost'!P54)</f>
        <v>901.274</v>
      </c>
      <c r="L57" s="37">
        <f>IFERROR(IF(ISBLANK(F57), "", K57/F57), 0)</f>
        <v>0</v>
      </c>
      <c r="M57" s="43">
        <f>IF(F57="", "", F57-K57)</f>
        <v>-901.274</v>
      </c>
      <c r="N57" s="43">
        <f>IF(ISBLANK(Accrual!P54), "", Accrual!P54)</f>
        <v>900.062</v>
      </c>
      <c r="O57" s="43">
        <f>IF(ISBLANK('Cash Flow'!P54), "",'Cash Flow'!P54)</f>
        <v>900.062</v>
      </c>
      <c r="P57" s="37">
        <f>IFERROR(IF(O57="", "", O57/K57), 0)</f>
        <v>0.99865523692018</v>
      </c>
      <c r="Q57" s="44">
        <f>IF(K57="", "", K57-O57)</f>
        <v>1.2119999999999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10480.945</v>
      </c>
      <c r="E58" s="43">
        <v>0.0</v>
      </c>
      <c r="F58" s="43">
        <f>D58+E58</f>
        <v>10480.945</v>
      </c>
      <c r="G58" s="43">
        <v>2315</v>
      </c>
      <c r="H58" s="43">
        <v>2315</v>
      </c>
      <c r="I58" s="43">
        <f>IF(H58="", "", J58-H58)</f>
        <v>0</v>
      </c>
      <c r="J58" s="43">
        <f>IF(ISBLANK(Projection!P55), "", Projection!P55)</f>
        <v>2315</v>
      </c>
      <c r="K58" s="43">
        <f>IF(ISBLANK('Committed Cost'!P55), "", 'Committed Cost'!P55)</f>
        <v>464.29693</v>
      </c>
      <c r="L58" s="37">
        <f>IFERROR(IF(ISBLANK(F58), "", K58/F58), 0)</f>
        <v>0.044299147643652</v>
      </c>
      <c r="M58" s="43">
        <f>IF(F58="", "", F58-K58)</f>
        <v>10016.64807</v>
      </c>
      <c r="N58" s="43">
        <f>IF(ISBLANK(Accrual!P55), "", Accrual!P55)</f>
        <v>464.29693</v>
      </c>
      <c r="O58" s="43">
        <f>IF(ISBLANK('Cash Flow'!P55), "",'Cash Flow'!P55)</f>
        <v>464.29693</v>
      </c>
      <c r="P58" s="37">
        <f>IFERROR(IF(O58="", "", O58/K58), 0)</f>
        <v>1</v>
      </c>
      <c r="Q58" s="44">
        <f>IF(K58="", "", K58-O58)</f>
        <v>0</v>
      </c>
    </row>
    <row r="59" spans="1:18" customHeight="1" ht="12.75">
      <c r="A59" s="18" t="s">
        <v>112</v>
      </c>
      <c r="B59" s="4" t="s">
        <v>113</v>
      </c>
      <c r="C59" s="43">
        <v>0.0</v>
      </c>
      <c r="D59" s="43">
        <v>0.0</v>
      </c>
      <c r="E59" s="43">
        <v>0.0</v>
      </c>
      <c r="F59" s="43">
        <f>D59+E59</f>
        <v>0</v>
      </c>
      <c r="G59" s="43">
        <v>5</v>
      </c>
      <c r="H59" s="43">
        <v>5</v>
      </c>
      <c r="I59" s="43">
        <f>IF(H59="", "", J59-H59)</f>
        <v>0</v>
      </c>
      <c r="J59" s="43">
        <f>IF(ISBLANK(Projection!P56), "", Projection!P56)</f>
        <v>5</v>
      </c>
      <c r="K59" s="43">
        <f>IF(ISBLANK('Committed Cost'!P56), "", 'Committed Cost'!P56)</f>
        <v>1.18</v>
      </c>
      <c r="L59" s="37">
        <f>IFERROR(IF(ISBLANK(F59), "", K59/F59), 0)</f>
        <v>0</v>
      </c>
      <c r="M59" s="43">
        <f>IF(F59="", "", F59-K59)</f>
        <v>-1.18</v>
      </c>
      <c r="N59" s="43">
        <f>IF(ISBLANK(Accrual!P56), "", Accrual!P56)</f>
        <v>1.18</v>
      </c>
      <c r="O59" s="43">
        <f>IF(ISBLANK('Cash Flow'!P56), "",'Cash Flow'!P56)</f>
        <v>1.18</v>
      </c>
      <c r="P59" s="37">
        <f>IFERROR(IF(O59="", "", O59/K59), 0)</f>
        <v>1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2551.15132</v>
      </c>
      <c r="E60" s="43">
        <v>0.0</v>
      </c>
      <c r="F60" s="43">
        <f>D60+E60</f>
        <v>2551.15132</v>
      </c>
      <c r="G60" s="43">
        <v>198.437</v>
      </c>
      <c r="H60" s="43">
        <v>198.437</v>
      </c>
      <c r="I60" s="43">
        <f>IF(H60="", "", J60-H60)</f>
        <v>-0.43700000000001</v>
      </c>
      <c r="J60" s="43">
        <f>IF(ISBLANK(Projection!P57), "", Projection!P57)</f>
        <v>198</v>
      </c>
      <c r="K60" s="43">
        <f>IF(ISBLANK('Committed Cost'!P57), "", 'Committed Cost'!P57)</f>
        <v>198</v>
      </c>
      <c r="L60" s="37">
        <f>IFERROR(IF(ISBLANK(F60), "", K60/F60), 0)</f>
        <v>0.077612017149967</v>
      </c>
      <c r="M60" s="43">
        <f>IF(F60="", "", F60-K60)</f>
        <v>2353.15132</v>
      </c>
      <c r="N60" s="43">
        <f>IF(ISBLANK(Accrual!P57), "", Accrual!P57)</f>
        <v>198</v>
      </c>
      <c r="O60" s="43">
        <f>IF(ISBLANK('Cash Flow'!P57), "",'Cash Flow'!P57)</f>
        <v>198</v>
      </c>
      <c r="P60" s="37">
        <f>IFERROR(IF(O60="", "", O60/K60), 0)</f>
        <v>1</v>
      </c>
      <c r="Q60" s="44">
        <f>IF(K60="", "", K60-O60)</f>
        <v>0</v>
      </c>
    </row>
    <row r="61" spans="1:18" customHeight="1" ht="12.75">
      <c r="A61" s="18" t="s">
        <v>116</v>
      </c>
      <c r="B61" s="4" t="s">
        <v>117</v>
      </c>
      <c r="C61" s="43">
        <v>0.0</v>
      </c>
      <c r="D61" s="43">
        <v>885.91316</v>
      </c>
      <c r="E61" s="43">
        <v>0.0</v>
      </c>
      <c r="F61" s="43">
        <f>D61+E61</f>
        <v>885.91316</v>
      </c>
      <c r="G61" s="43">
        <v>885.913</v>
      </c>
      <c r="H61" s="43">
        <v>885.913</v>
      </c>
      <c r="I61" s="43">
        <f>IF(H61="", "", J61-H61)</f>
        <v>0.086999999999989</v>
      </c>
      <c r="J61" s="43">
        <f>IF(ISBLANK(Projection!P58), "", Projection!P58)</f>
        <v>886</v>
      </c>
      <c r="K61" s="43">
        <f>IF(ISBLANK('Committed Cost'!P58), "", 'Committed Cost'!P58)</f>
        <v>575.07197</v>
      </c>
      <c r="L61" s="37">
        <f>IFERROR(IF(ISBLANK(F61), "", K61/F61), 0)</f>
        <v>0.64912905233285</v>
      </c>
      <c r="M61" s="43">
        <f>IF(F61="", "", F61-K61)</f>
        <v>310.84119</v>
      </c>
      <c r="N61" s="43">
        <f>IF(ISBLANK(Accrual!P58), "", Accrual!P58)</f>
        <v>575.07197</v>
      </c>
      <c r="O61" s="43">
        <f>IF(ISBLANK('Cash Flow'!P58), "",'Cash Flow'!P58)</f>
        <v>271.26077</v>
      </c>
      <c r="P61" s="37">
        <f>IFERROR(IF(O61="", "", O61/K61), 0)</f>
        <v>0.47169882058414</v>
      </c>
      <c r="Q61" s="44">
        <f>IF(K61="", "", K61-O61)</f>
        <v>303.8112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0.0</v>
      </c>
      <c r="D63" s="43">
        <v>0.0</v>
      </c>
      <c r="E63" s="43">
        <v>0.0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0.0</v>
      </c>
      <c r="D66" s="43">
        <v>0.0</v>
      </c>
      <c r="E66" s="43">
        <v>0.0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>
      <c r="A67" s="18" t="s">
        <v>128</v>
      </c>
      <c r="B67" s="4" t="s">
        <v>129</v>
      </c>
      <c r="C67" s="43">
        <v>0.0</v>
      </c>
      <c r="D67" s="43">
        <v>0.0</v>
      </c>
      <c r="E67" s="43">
        <v>0.0</v>
      </c>
      <c r="F67" s="43">
        <f>D67+E67</f>
        <v>0</v>
      </c>
      <c r="G67" s="43">
        <v>250</v>
      </c>
      <c r="H67" s="43">
        <v>250</v>
      </c>
      <c r="I67" s="43">
        <f>IF(H67="", "", J67-H67)</f>
        <v>0</v>
      </c>
      <c r="J67" s="43">
        <f>IF(ISBLANK(Projection!P64), "", Projection!P64)</f>
        <v>250</v>
      </c>
      <c r="K67" s="43">
        <f>IF(ISBLANK('Committed Cost'!P64), "", 'Committed Cost'!P64)</f>
        <v>14.693</v>
      </c>
      <c r="L67" s="37">
        <f>IFERROR(IF(ISBLANK(F67), "", K67/F67), 0)</f>
        <v>0</v>
      </c>
      <c r="M67" s="43">
        <f>IF(F67="", "", F67-K67)</f>
        <v>-14.693</v>
      </c>
      <c r="N67" s="43">
        <f>IF(ISBLANK(Accrual!P64), "", Accrual!P64)</f>
        <v>14.693</v>
      </c>
      <c r="O67" s="43">
        <f>IF(ISBLANK('Cash Flow'!P64), "",'Cash Flow'!P64)</f>
        <v>14.693</v>
      </c>
      <c r="P67" s="37">
        <f>IFERROR(IF(O67="", "", O67/K67), 0)</f>
        <v>1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0.0</v>
      </c>
      <c r="D69" s="43">
        <v>0.0</v>
      </c>
      <c r="E69" s="43">
        <v>0.0</v>
      </c>
      <c r="F69" s="43">
        <f>D69+E69</f>
        <v>0</v>
      </c>
      <c r="G69" s="43">
        <v>2666</v>
      </c>
      <c r="H69" s="43">
        <v>2666</v>
      </c>
      <c r="I69" s="43">
        <f>IF(H69="", "", J69-H69)</f>
        <v>0</v>
      </c>
      <c r="J69" s="43">
        <f>IF(ISBLANK(Projection!P66), "", Projection!P66)</f>
        <v>2666</v>
      </c>
      <c r="K69" s="43">
        <f>IF(ISBLANK('Committed Cost'!P66), "", 'Committed Cost'!P66)</f>
        <v>1992.08107</v>
      </c>
      <c r="L69" s="37">
        <f>IFERROR(IF(ISBLANK(F69), "", K69/F69), 0)</f>
        <v>0</v>
      </c>
      <c r="M69" s="43">
        <f>IF(F69="", "", F69-K69)</f>
        <v>-1992.08107</v>
      </c>
      <c r="N69" s="43">
        <f>IF(ISBLANK(Accrual!P66), "", Accrual!P66)</f>
        <v>1709.37707</v>
      </c>
      <c r="O69" s="43">
        <f>IF(ISBLANK('Cash Flow'!P66), "",'Cash Flow'!P66)</f>
        <v>1702.43707</v>
      </c>
      <c r="P69" s="37">
        <f>IFERROR(IF(O69="", "", O69/K69), 0)</f>
        <v>0.85460230290728</v>
      </c>
      <c r="Q69" s="44">
        <f>IF(K69="", "", K69-O69)</f>
        <v>289.644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244.7915</v>
      </c>
      <c r="O70" s="43">
        <f>IF(ISBLANK('Cash Flow'!P67), "",'Cash Flow'!P67)</f>
        <v>328.8185</v>
      </c>
      <c r="P70" s="37">
        <f>IFERROR(IF(O70="", "", O70/K70), 0)</f>
        <v>0</v>
      </c>
      <c r="Q70" s="44">
        <f>IF(K70="", "", K70-O70)</f>
        <v>-328.8185</v>
      </c>
    </row>
    <row r="71" spans="1:18" customHeight="1" ht="12.75" hidden="true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0</v>
      </c>
      <c r="I71" s="43">
        <f>IF(H71="", "", J71-H71)</f>
        <v>0</v>
      </c>
      <c r="J71" s="43">
        <f>IF(ISBLANK(Projection!P68), "", Projection!P68)</f>
        <v>0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0.0</v>
      </c>
      <c r="D76" s="43">
        <v>0.0</v>
      </c>
      <c r="E76" s="43">
        <v>0.0</v>
      </c>
      <c r="F76" s="43">
        <f>D76+E76</f>
        <v>0</v>
      </c>
      <c r="G76" s="43">
        <v>100</v>
      </c>
      <c r="H76" s="43">
        <v>100</v>
      </c>
      <c r="I76" s="43">
        <f>IF(H76="", "", J76-H76)</f>
        <v>0</v>
      </c>
      <c r="J76" s="43">
        <f>IF(ISBLANK(Projection!P73), "", Projection!P73)</f>
        <v>100</v>
      </c>
      <c r="K76" s="43">
        <f>IF(ISBLANK('Committed Cost'!P73), "", 'Committed Cost'!P73)</f>
        <v>0.4</v>
      </c>
      <c r="L76" s="37">
        <f>IFERROR(IF(ISBLANK(F76), "", K76/F76), 0)</f>
        <v>0</v>
      </c>
      <c r="M76" s="43">
        <f>IF(F76="", "", F76-K76)</f>
        <v>-0.4</v>
      </c>
      <c r="N76" s="43">
        <f>IF(ISBLANK(Accrual!P73), "", Accrual!P73)</f>
        <v>0.4</v>
      </c>
      <c r="O76" s="43">
        <f>IF(ISBLANK('Cash Flow'!P73), "",'Cash Flow'!P73)</f>
        <v>0.4</v>
      </c>
      <c r="P76" s="37">
        <f>IFERROR(IF(O76="", "", O76/K76), 0)</f>
        <v>1</v>
      </c>
      <c r="Q76" s="44">
        <f>IF(K76="", "", K76-O76)</f>
        <v>0</v>
      </c>
    </row>
    <row r="77" spans="1:18" customHeight="1" ht="12.75">
      <c r="A77" s="18" t="s">
        <v>147</v>
      </c>
      <c r="B77" s="4" t="s">
        <v>148</v>
      </c>
      <c r="C77" s="43">
        <v>5322.75927</v>
      </c>
      <c r="D77" s="43">
        <v>4850.663068</v>
      </c>
      <c r="E77" s="43">
        <v>0.0</v>
      </c>
      <c r="F77" s="43">
        <f>D77+E77</f>
        <v>4850.663068</v>
      </c>
      <c r="G77" s="43">
        <v>14562.8</v>
      </c>
      <c r="H77" s="43">
        <v>14562.8</v>
      </c>
      <c r="I77" s="43">
        <f>IF(H77="", "", J77-H77)</f>
        <v>0</v>
      </c>
      <c r="J77" s="43">
        <f>IF(ISBLANK(Projection!P74), "", Projection!P74)</f>
        <v>14562.8</v>
      </c>
      <c r="K77" s="43">
        <f>IF(ISBLANK('Committed Cost'!P74), "", 'Committed Cost'!P74)</f>
        <v>13106.37654</v>
      </c>
      <c r="L77" s="37">
        <f>IFERROR(IF(ISBLANK(F77), "", K77/F77), 0)</f>
        <v>2.7019762775245</v>
      </c>
      <c r="M77" s="43">
        <f>IF(F77="", "", F77-K77)</f>
        <v>-8255.713472</v>
      </c>
      <c r="N77" s="43">
        <f>IF(ISBLANK(Accrual!P74), "", Accrual!P74)</f>
        <v>9698.27754</v>
      </c>
      <c r="O77" s="43">
        <f>IF(ISBLANK('Cash Flow'!P74), "",'Cash Flow'!P74)</f>
        <v>9234.17654</v>
      </c>
      <c r="P77" s="37">
        <f>IFERROR(IF(O77="", "", O77/K77), 0)</f>
        <v>0.70455602368952</v>
      </c>
      <c r="Q77" s="44">
        <f>IF(K77="", "", K77-O77)</f>
        <v>3872.2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0.0</v>
      </c>
      <c r="F78" s="43">
        <f>D78+E78</f>
        <v>0</v>
      </c>
      <c r="G78" s="43">
        <v>150</v>
      </c>
      <c r="H78" s="43">
        <v>150</v>
      </c>
      <c r="I78" s="43">
        <f>IF(H78="", "", J78-H78)</f>
        <v>0</v>
      </c>
      <c r="J78" s="43">
        <f>IF(ISBLANK(Projection!P75), "", Projection!P75)</f>
        <v>150</v>
      </c>
      <c r="K78" s="43">
        <f>IF(ISBLANK('Committed Cost'!P75), "", 'Committed Cost'!P75)</f>
        <v>125.74606</v>
      </c>
      <c r="L78" s="37">
        <f>IFERROR(IF(ISBLANK(F78), "", K78/F78), 0)</f>
        <v>0</v>
      </c>
      <c r="M78" s="43">
        <f>IF(F78="", "", F78-K78)</f>
        <v>-125.74606</v>
      </c>
      <c r="N78" s="43">
        <f>IF(ISBLANK(Accrual!P75), "", Accrual!P75)</f>
        <v>125.74606</v>
      </c>
      <c r="O78" s="43">
        <f>IF(ISBLANK('Cash Flow'!P75), "",'Cash Flow'!P75)</f>
        <v>125.74606</v>
      </c>
      <c r="P78" s="37">
        <f>IFERROR(IF(O78="", "", O78/K78), 0)</f>
        <v>1</v>
      </c>
      <c r="Q78" s="44">
        <f>IF(K78="", "", K78-O78)</f>
        <v>0</v>
      </c>
    </row>
    <row r="79" spans="1:18" customHeight="1" ht="12.75">
      <c r="A79" s="18" t="s">
        <v>151</v>
      </c>
      <c r="B79" s="4" t="s">
        <v>152</v>
      </c>
      <c r="C79" s="43">
        <v>0.0</v>
      </c>
      <c r="D79" s="43">
        <v>0.0</v>
      </c>
      <c r="E79" s="43">
        <v>0.0</v>
      </c>
      <c r="F79" s="43">
        <f>D79+E79</f>
        <v>0</v>
      </c>
      <c r="G79" s="43">
        <v>8</v>
      </c>
      <c r="H79" s="43">
        <v>8</v>
      </c>
      <c r="I79" s="43">
        <f>IF(H79="", "", J79-H79)</f>
        <v>0</v>
      </c>
      <c r="J79" s="43">
        <f>IF(ISBLANK(Projection!P76), "", Projection!P76)</f>
        <v>8</v>
      </c>
      <c r="K79" s="43">
        <f>IF(ISBLANK('Committed Cost'!P76), "", 'Committed Cost'!P76)</f>
        <v>7.8</v>
      </c>
      <c r="L79" s="37">
        <f>IFERROR(IF(ISBLANK(F79), "", K79/F79), 0)</f>
        <v>0</v>
      </c>
      <c r="M79" s="43">
        <f>IF(F79="", "", F79-K79)</f>
        <v>-7.8</v>
      </c>
      <c r="N79" s="43">
        <f>IF(ISBLANK(Accrual!P76), "", Accrual!P76)</f>
        <v>7.8</v>
      </c>
      <c r="O79" s="43">
        <f>IF(ISBLANK('Cash Flow'!P76), "",'Cash Flow'!P76)</f>
        <v>7.8</v>
      </c>
      <c r="P79" s="37">
        <f>IFERROR(IF(O79="", "", O79/K79), 0)</f>
        <v>1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0.0</v>
      </c>
      <c r="D80" s="43">
        <v>0.0</v>
      </c>
      <c r="E80" s="43">
        <v>0.0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 hidden="true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0</v>
      </c>
      <c r="H82" s="43">
        <v>0</v>
      </c>
      <c r="I82" s="43">
        <f>IF(H82="", "", J82-H82)</f>
        <v>0</v>
      </c>
      <c r="J82" s="43">
        <f>IF(ISBLANK(Projection!P79), "", Projection!P79)</f>
        <v>0</v>
      </c>
      <c r="K82" s="43">
        <f>IF(ISBLANK('Committed Cost'!P79), "", 'Committed Cost'!P79)</f>
        <v>0</v>
      </c>
      <c r="L82" s="37">
        <f>IFERROR(IF(ISBLANK(F82), "", K82/F82), 0)</f>
        <v>0</v>
      </c>
      <c r="M82" s="43">
        <f>IF(F82="", "", F82-K82)</f>
        <v>0</v>
      </c>
      <c r="N82" s="43">
        <f>IF(ISBLANK(Accrual!P79), "", Accrual!P79)</f>
        <v>0</v>
      </c>
      <c r="O82" s="43">
        <f>IF(ISBLANK('Cash Flow'!P79), "",'Cash Flow'!P79)</f>
        <v>0</v>
      </c>
      <c r="P82" s="37">
        <f>IFERROR(IF(O82="", "", O82/K82), 0)</f>
        <v>0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257652.19759</v>
      </c>
      <c r="D86" s="43">
        <v>370395.2653884</v>
      </c>
      <c r="E86" s="43">
        <v>0.0</v>
      </c>
      <c r="F86" s="43">
        <f>D86+E86</f>
        <v>370395.2653884</v>
      </c>
      <c r="G86" s="43">
        <v>463274</v>
      </c>
      <c r="H86" s="43">
        <v>463274</v>
      </c>
      <c r="I86" s="43">
        <f>IF(H86="", "", J86-H86)</f>
        <v>6859.951</v>
      </c>
      <c r="J86" s="43">
        <f>IF(ISBLANK(Projection!P83), "", Projection!P83)</f>
        <v>470133.951</v>
      </c>
      <c r="K86" s="43">
        <f>IF(ISBLANK('Committed Cost'!P83), "", 'Committed Cost'!P83)</f>
        <v>469306.11136</v>
      </c>
      <c r="L86" s="37">
        <f>IFERROR(IF(ISBLANK(F86), "", K86/F86), 0)</f>
        <v>1.2670413345265</v>
      </c>
      <c r="M86" s="43">
        <f>IF(F86="", "", F86-K86)</f>
        <v>-98910.8459716</v>
      </c>
      <c r="N86" s="43">
        <f>IF(ISBLANK(Accrual!P83), "", Accrual!P83)</f>
        <v>334316.18885</v>
      </c>
      <c r="O86" s="43">
        <f>IF(ISBLANK('Cash Flow'!P83), "",'Cash Flow'!P83)</f>
        <v>322615.18068</v>
      </c>
      <c r="P86" s="37">
        <f>IFERROR(IF(O86="", "", O86/K86), 0)</f>
        <v>0.68743017163168</v>
      </c>
      <c r="Q86" s="44">
        <f>IF(K86="", "", K86-O86)</f>
        <v>146690.93068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30313</v>
      </c>
      <c r="H87" s="43">
        <v>30313</v>
      </c>
      <c r="I87" s="43">
        <f>IF(H87="", "", J87-H87)</f>
        <v>-486</v>
      </c>
      <c r="J87" s="43">
        <f>IF(ISBLANK(Projection!P84), "", Projection!P84)</f>
        <v>29827</v>
      </c>
      <c r="K87" s="43">
        <f>IF(ISBLANK('Committed Cost'!P84), "", 'Committed Cost'!P84)</f>
        <v>26957.56934</v>
      </c>
      <c r="L87" s="37">
        <f>IFERROR(IF(ISBLANK(F87), "", K87/F87), 0)</f>
        <v>0</v>
      </c>
      <c r="M87" s="43">
        <f>IF(F87="", "", F87-K87)</f>
        <v>-26957.56934</v>
      </c>
      <c r="N87" s="43">
        <f>IF(ISBLANK(Accrual!P84), "", Accrual!P84)</f>
        <v>23939.20767</v>
      </c>
      <c r="O87" s="43">
        <f>IF(ISBLANK('Cash Flow'!P84), "",'Cash Flow'!P84)</f>
        <v>3865.18012</v>
      </c>
      <c r="P87" s="37">
        <f>IFERROR(IF(O87="", "", O87/K87), 0)</f>
        <v>0.14338014200208</v>
      </c>
      <c r="Q87" s="44">
        <f>IF(K87="", "", K87-O87)</f>
        <v>23092.38922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-15445.95503</v>
      </c>
      <c r="O89" s="43">
        <f>IF(ISBLANK('Cash Flow'!P86), "",'Cash Flow'!P86)</f>
        <v>-12288.015</v>
      </c>
      <c r="P89" s="37">
        <f>IFERROR(IF(O89="", "", O89/K89), 0)</f>
        <v>0</v>
      </c>
      <c r="Q89" s="44">
        <f>IF(K89="", "", K89-O89)</f>
        <v>12288.015</v>
      </c>
    </row>
    <row r="90" spans="1:18" customHeight="1" ht="12.75" hidden="true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0</v>
      </c>
      <c r="P90" s="37">
        <f>IFERROR(IF(O90="", "", O90/K90), 0)</f>
        <v>0</v>
      </c>
      <c r="Q90" s="44">
        <f>IF(K90="", "", K90-O90)</f>
        <v>0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-17908.86175</v>
      </c>
      <c r="P91" s="37">
        <f>IFERROR(IF(O91="", "", O91/K91), 0)</f>
        <v>0</v>
      </c>
      <c r="Q91" s="44">
        <f>IF(K91="", "", K91-O91)</f>
        <v>17908.86175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-43819</v>
      </c>
      <c r="H92" s="43">
        <v>-43819</v>
      </c>
      <c r="I92" s="43">
        <f>IF(H92="", "", J92-H92)</f>
        <v>-8250</v>
      </c>
      <c r="J92" s="43">
        <f>IF(ISBLANK(Projection!P89), "", Projection!P89)</f>
        <v>-52069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</v>
      </c>
      <c r="D93" s="43">
        <v>0</v>
      </c>
      <c r="E93" s="43">
        <v>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>
      <c r="A95" s="18">
        <v>2.5</v>
      </c>
      <c r="B95" s="4" t="s">
        <v>182</v>
      </c>
      <c r="C95" s="43">
        <v>0.0</v>
      </c>
      <c r="D95" s="43">
        <v>0.0</v>
      </c>
      <c r="E95" s="43">
        <v>0.0</v>
      </c>
      <c r="F95" s="43">
        <f>D95+E95</f>
        <v>0</v>
      </c>
      <c r="G95" s="43">
        <v>3414</v>
      </c>
      <c r="H95" s="43">
        <v>3414</v>
      </c>
      <c r="I95" s="43">
        <f>IF(H95="", "", J95-H95)</f>
        <v>1600</v>
      </c>
      <c r="J95" s="43">
        <f>IF(ISBLANK(Projection!P92), "", Projection!P92)</f>
        <v>5014</v>
      </c>
      <c r="K95" s="43">
        <f>IF(ISBLANK('Committed Cost'!P92), "", 'Committed Cost'!P92)</f>
        <v>4128.34805</v>
      </c>
      <c r="L95" s="37">
        <f>IFERROR(IF(ISBLANK(F95), "", K95/F95), 0)</f>
        <v>0</v>
      </c>
      <c r="M95" s="43">
        <f>IF(F95="", "", F95-K95)</f>
        <v>-4128.34805</v>
      </c>
      <c r="N95" s="43">
        <f>IF(ISBLANK(Accrual!P92), "", Accrual!P92)</f>
        <v>4128.39805</v>
      </c>
      <c r="O95" s="43">
        <f>IF(ISBLANK('Cash Flow'!P92), "",'Cash Flow'!P92)</f>
        <v>4128.34805</v>
      </c>
      <c r="P95" s="37">
        <f>IFERROR(IF(O95="", "", O95/K95), 0)</f>
        <v>1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0.0</v>
      </c>
      <c r="D97" s="43">
        <v>0.0</v>
      </c>
      <c r="E97" s="43">
        <v>0.0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0.0</v>
      </c>
      <c r="D98" s="43">
        <v>0.0</v>
      </c>
      <c r="E98" s="43">
        <v>0.0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0.0</v>
      </c>
      <c r="D99" s="43">
        <v>0.0</v>
      </c>
      <c r="E99" s="43">
        <v>0.0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0.0</v>
      </c>
      <c r="D100" s="43">
        <v>0.0</v>
      </c>
      <c r="E100" s="43">
        <v>0.0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310760.30976</v>
      </c>
      <c r="D110" s="47">
        <f>SUM(D41:D109)</f>
        <v>462199.4533929</v>
      </c>
      <c r="E110" s="47">
        <f>SUM(E41:E109)</f>
        <v>0</v>
      </c>
      <c r="F110" s="47">
        <f>SUM(F41:F109)</f>
        <v>462199.4533929</v>
      </c>
      <c r="G110" s="47">
        <f>SUM(G41:G109)</f>
        <v>595730.1</v>
      </c>
      <c r="H110" s="47">
        <f>SUM(H41:H109)</f>
        <v>595730.1</v>
      </c>
      <c r="I110" s="47">
        <f>IF(H110="", "", J110-H110)</f>
        <v>-0.39899999997579</v>
      </c>
      <c r="J110" s="47">
        <f>IF(ISBLANK(Projection!P107), "", Projection!P107)</f>
        <v>595729.701</v>
      </c>
      <c r="K110" s="47">
        <f>IF(ISBLANK('Committed Cost'!P107), "", 'Committed Cost'!P107)</f>
        <v>629537.43006</v>
      </c>
      <c r="L110" s="39">
        <f>IFERROR(IF(ISBLANK(F110), "", K110/F110), 0)</f>
        <v>1.362047110698</v>
      </c>
      <c r="M110" s="47">
        <f>IF(F110="", "", F110-K110)</f>
        <v>-167337.9766671</v>
      </c>
      <c r="N110" s="47">
        <f>IF(ISBLANK(Accrual!P107), "", Accrual!P107)</f>
        <v>472154.60982</v>
      </c>
      <c r="O110" s="47">
        <f>IF(ISBLANK('Cash Flow'!P107), "",'Cash Flow'!P107)</f>
        <v>424171.09816</v>
      </c>
      <c r="P110" s="39">
        <f>IFERROR(IF(O110="", "", O110/K110), 0)</f>
        <v>0.67378217387261</v>
      </c>
      <c r="Q110" s="48">
        <f>IF(K110="", "", K110-O110)</f>
        <v>205366.3319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13437.70924</v>
      </c>
      <c r="D112" s="49">
        <f>D39-D110</f>
        <v>-74368.4533929</v>
      </c>
      <c r="E112" s="49">
        <f>E39-E110</f>
        <v>0</v>
      </c>
      <c r="F112" s="49">
        <f>F39-F110</f>
        <v>-74368.4533929</v>
      </c>
      <c r="G112" s="49">
        <f>G39-G110</f>
        <v>70549.9</v>
      </c>
      <c r="H112" s="49">
        <f>H39-H110</f>
        <v>70549.9</v>
      </c>
      <c r="I112" s="49">
        <f>IF(H112="", "", J112-H112)</f>
        <v>0.39899999997579</v>
      </c>
      <c r="J112" s="49">
        <f>IF(ISBLANK(Projection!P109), "", Projection!P109)</f>
        <v>70550.299</v>
      </c>
      <c r="K112" s="49">
        <f>IF(ISBLANK('Committed Cost'!P109), "", 'Committed Cost'!P109)</f>
        <v>-295491.77006</v>
      </c>
      <c r="L112" s="40">
        <f>IFERROR(IF(ISBLANK(F112), "", K112/F112), 0)</f>
        <v>3.9733483295514</v>
      </c>
      <c r="M112" s="49">
        <f>IF(F112="", "", F112-K112)</f>
        <v>221123.3166671</v>
      </c>
      <c r="N112" s="49">
        <f>IF(ISBLANK(Accrual!P109), "", Accrual!P109)</f>
        <v>-205459.60982</v>
      </c>
      <c r="O112" s="49">
        <f>IF(ISBLANK('Cash Flow'!P109), "",'Cash Flow'!P109)</f>
        <v>-146396.89816</v>
      </c>
      <c r="P112" s="40">
        <f>IFERROR(IF(O112="", "", O112/K112), 0)</f>
        <v>0.49543477346348</v>
      </c>
      <c r="Q112" s="50">
        <f>IF(K112="", "", K112-O112)</f>
        <v>-149094.8719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-954</v>
      </c>
      <c r="H117" s="43"/>
      <c r="I117" s="43" t="str">
        <f>IF(H117="", "", J117-H117)</f>
        <v/>
      </c>
      <c r="J117" s="43">
        <f>IF(ISBLANK(Projection!P114), "", Projection!P114)</f>
        <v>-954</v>
      </c>
      <c r="K117" s="43">
        <f>IF(ISBLANK('Committed Cost'!P114), "", 'Committed Cost'!P114)</f>
        <v>-658.2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-658.2</v>
      </c>
      <c r="O117" s="43">
        <f>IF(ISBLANK('Cash Flow'!P114), "",'Cash Flow'!P114)</f>
        <v>-658.2</v>
      </c>
      <c r="P117" s="37">
        <f>IFERROR(IF(O117="", "", O117/K117), 0)</f>
        <v>1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 hidden="true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0</v>
      </c>
      <c r="H119" s="43"/>
      <c r="I119" s="43" t="str">
        <f>IF(H119="", "", J119-H119)</f>
        <v/>
      </c>
      <c r="J119" s="43">
        <f>IF(ISBLANK(Projection!P116), "", Projection!P116)</f>
        <v>0</v>
      </c>
      <c r="K119" s="43">
        <f>IF(ISBLANK('Committed Cost'!P116), "", 'Committed Cost'!P116)</f>
        <v>0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0</v>
      </c>
      <c r="O119" s="43">
        <f>IF(ISBLANK('Cash Flow'!P116), "",'Cash Flow'!P116)</f>
        <v>0</v>
      </c>
      <c r="P119" s="37">
        <f>IFERROR(IF(O119="", "", O119/K119), 0)</f>
        <v>0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-697</v>
      </c>
      <c r="E121" s="45">
        <v>0</v>
      </c>
      <c r="F121" s="45">
        <f>D121+E121</f>
        <v>-697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14381.35681453</v>
      </c>
      <c r="K121" s="45">
        <f>IF(ISBLANK('Committed Cost'!P118), "", 'Committed Cost'!P118)</f>
        <v>14381.35681451</v>
      </c>
      <c r="L121" s="38">
        <f>IFERROR(IF(ISBLANK(F121), "", K121/F121), 0)</f>
        <v>-20.63322355023</v>
      </c>
      <c r="M121" s="45">
        <f>IF(F121="", "", F121-K121)</f>
        <v>-15078.35681451</v>
      </c>
      <c r="N121" s="43">
        <f>IF(ISBLANK(Accrual!P118), "", Accrual!P118)</f>
        <v>14381.35681453</v>
      </c>
      <c r="O121" s="43">
        <f>IF(ISBLANK('Cash Flow'!P118), "",'Cash Flow'!P118)</f>
        <v>14381.356814541</v>
      </c>
      <c r="P121" s="38">
        <f>IFERROR(IF(O121="", "", O121/K121), 0)</f>
        <v>1.0000000000021</v>
      </c>
      <c r="Q121" s="46">
        <f>IF(K121="", "", K121-O121)</f>
        <v>-3.0549927032553E-8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-697</v>
      </c>
      <c r="E122" s="47">
        <f>SUM(E114:E121)</f>
        <v>0</v>
      </c>
      <c r="F122" s="47">
        <f>SUM(F114:F121)</f>
        <v>-697</v>
      </c>
      <c r="G122" s="47">
        <f>SUM(G114:G121)</f>
        <v>-954</v>
      </c>
      <c r="H122" s="47"/>
      <c r="I122" s="47" t="str">
        <f>IF(H122="", "", J122-H122)</f>
        <v/>
      </c>
      <c r="J122" s="47">
        <f>IF(ISBLANK(Projection!P119), "", Projection!P119)</f>
        <v>13427.35681453</v>
      </c>
      <c r="K122" s="47">
        <f>IF(ISBLANK('Committed Cost'!P119), "", 'Committed Cost'!P119)</f>
        <v>13723.15681451</v>
      </c>
      <c r="L122" s="39">
        <f>IFERROR(IF(ISBLANK(F122), "", K122/F122), 0)</f>
        <v>-19.688890695136</v>
      </c>
      <c r="M122" s="47">
        <f>IF(F122="", "", F122-K122)</f>
        <v>-14420.15681451</v>
      </c>
      <c r="N122" s="47">
        <f>IF(ISBLANK(Accrual!P119), "", Accrual!P119)</f>
        <v>13723.15681453</v>
      </c>
      <c r="O122" s="47">
        <f>IF(ISBLANK('Cash Flow'!P119), "",'Cash Flow'!P119)</f>
        <v>13723.156814541</v>
      </c>
      <c r="P122" s="39">
        <f>IFERROR(IF(O122="", "", O122/K122), 0)</f>
        <v>1.0000000000022</v>
      </c>
      <c r="Q122" s="48">
        <f>IF(K122="", "", K122-O122)</f>
        <v>-3.0549927032553E-8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13437.70924</v>
      </c>
      <c r="D124" s="49">
        <f>D112-D122</f>
        <v>-73671.4533929</v>
      </c>
      <c r="E124" s="49">
        <f>E112-E122</f>
        <v>0</v>
      </c>
      <c r="F124" s="49">
        <f>F112-F122</f>
        <v>-73671.4533929</v>
      </c>
      <c r="G124" s="49">
        <f>G112-G122</f>
        <v>71503.9</v>
      </c>
      <c r="H124" s="49"/>
      <c r="I124" s="49" t="str">
        <f>IF(H124="", "", J124-H124)</f>
        <v/>
      </c>
      <c r="J124" s="49">
        <f>IF(ISBLANK(Projection!P121), "", Projection!P121)</f>
        <v>57122.94218547</v>
      </c>
      <c r="K124" s="49">
        <f>IF(ISBLANK('Committed Cost'!P121), "", 'Committed Cost'!P121)</f>
        <v>-309214.92687451</v>
      </c>
      <c r="L124" s="40">
        <f>IFERROR(IF(ISBLANK(F124), "", K124/F124), 0)</f>
        <v>4.197214967722</v>
      </c>
      <c r="M124" s="49">
        <f>IF(F124="", "", F124-K124)</f>
        <v>235543.47348161</v>
      </c>
      <c r="N124" s="49">
        <f>IF(ISBLANK(Accrual!P121), "", Accrual!P121)</f>
        <v>-219182.76663453</v>
      </c>
      <c r="O124" s="49">
        <f>IF(ISBLANK('Cash Flow'!P121), "",'Cash Flow'!P121)</f>
        <v>-160120.05497454</v>
      </c>
      <c r="P124" s="40">
        <f>IFERROR(IF(O124="", "", O124/K124), 0)</f>
        <v>0.51782770189333</v>
      </c>
      <c r="Q124" s="50">
        <f>IF(K124="", "", K124-O124)</f>
        <v>-149094.87189997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19451.88114</v>
      </c>
      <c r="D128" s="43">
        <f>(D39-D21-D23-D36)*D127</f>
        <v>23269.86</v>
      </c>
      <c r="E128" s="43">
        <f>(E39-E21-E23-E36)*E127</f>
        <v>0</v>
      </c>
      <c r="F128" s="43">
        <f>(F39-F21-F23-F36)*F127</f>
        <v>23269.86</v>
      </c>
      <c r="G128" s="43">
        <f>(G39-G21-G23-G36)*G127</f>
        <v>39976.8</v>
      </c>
      <c r="H128" s="43"/>
      <c r="I128" s="43" t="str">
        <f>IF(H128="", "", J128-H128)</f>
        <v/>
      </c>
      <c r="J128" s="43">
        <f>IF(ISBLANK(Projection!P125), "", Projection!P125)</f>
        <v>20173.83</v>
      </c>
      <c r="K128" s="43">
        <f>IF(ISBLANK('Committed Cost'!P125), "", 'Committed Cost'!P125)</f>
        <v>10021.3698</v>
      </c>
      <c r="L128" s="37">
        <f>IFERROR(IF(ISBLANK(F128), "", K128/F128), 0)</f>
        <v>0.43065879210275</v>
      </c>
      <c r="M128" s="43">
        <f>IF(F128="", "", F128-K128)</f>
        <v>13248.4902</v>
      </c>
      <c r="N128" s="43">
        <f>IF(ISBLANK(Accrual!P125), "", Accrual!P125)</f>
        <v>8128.11</v>
      </c>
      <c r="O128" s="43">
        <f>IF(ISBLANK('Cash Flow'!P125), "",'Cash Flow'!P125)</f>
        <v>8548.536</v>
      </c>
      <c r="P128" s="37">
        <f>IFERROR(IF(O128="", "", O128/K128), 0)</f>
        <v>0.85303069047507</v>
      </c>
      <c r="Q128" s="44">
        <f>IF(K128="", "", K128-O128)</f>
        <v>1472.8338</v>
      </c>
    </row>
    <row r="129" spans="1:18" customHeight="1" ht="12.75">
      <c r="A129" s="18" t="s">
        <v>216</v>
      </c>
      <c r="B129" s="4" t="s">
        <v>217</v>
      </c>
      <c r="C129" s="43">
        <f>(C39-C21-C23-C36)*0.010000</f>
        <v>3241.98019</v>
      </c>
      <c r="D129" s="43">
        <f>(D39-D21-D23-D36)*0.010000</f>
        <v>3878.31</v>
      </c>
      <c r="E129" s="43">
        <f>(E39-E21-E23-E36)*0.010000</f>
        <v>0</v>
      </c>
      <c r="F129" s="43">
        <f>(F39-F21-F23-F36)*0.010000</f>
        <v>3878.31</v>
      </c>
      <c r="G129" s="43">
        <f>(G39-G21-G23-G36)*0.010000</f>
        <v>6662.8</v>
      </c>
      <c r="H129" s="43"/>
      <c r="I129" s="43" t="str">
        <f>IF(H129="", "", J129-H129)</f>
        <v/>
      </c>
      <c r="J129" s="43">
        <f>IF(ISBLANK(Projection!P126), "", Projection!P126)</f>
        <v>6662.8</v>
      </c>
      <c r="K129" s="43">
        <f>IF(ISBLANK('Committed Cost'!P126), "", 'Committed Cost'!P126)</f>
        <v>3340.4566</v>
      </c>
      <c r="L129" s="37">
        <f>IFERROR(IF(ISBLANK(F129), "", K129/F129), 0)</f>
        <v>0.86131758420549</v>
      </c>
      <c r="M129" s="43">
        <f>IF(F129="", "", F129-K129)</f>
        <v>537.8534</v>
      </c>
      <c r="N129" s="43">
        <f>IF(ISBLANK(Accrual!P126), "", Accrual!P126)</f>
        <v>2666.95</v>
      </c>
      <c r="O129" s="43">
        <f>IF(ISBLANK('Cash Flow'!P126), "",'Cash Flow'!P126)</f>
        <v>2777.742</v>
      </c>
      <c r="P129" s="37">
        <f>IFERROR(IF(O129="", "", O129/K129), 0)</f>
        <v>0.83154560367586</v>
      </c>
      <c r="Q129" s="44">
        <f>IF(K129="", "", K129-O129)</f>
        <v>562.7146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-9256.15209</v>
      </c>
      <c r="D132" s="51">
        <f>D124-SUM(D128:D129)+IF(ISBLANK(D130), 0, D130)</f>
        <v>-100819.6233929</v>
      </c>
      <c r="E132" s="51">
        <f>E124-SUM(E128:E129)+IF(ISBLANK(E130), 0, E130)</f>
        <v>0</v>
      </c>
      <c r="F132" s="51">
        <f>F124-SUM(F128:F129)+IF(ISBLANK(F130), 0, F130)</f>
        <v>-100819.6233929</v>
      </c>
      <c r="G132" s="51">
        <f>G124-SUM(G128:G129)+IF(ISBLANK(G130), 0, G130)</f>
        <v>24864.3</v>
      </c>
      <c r="H132" s="51"/>
      <c r="I132" s="51" t="str">
        <f>IF(H132="", "", J132-H132)</f>
        <v/>
      </c>
      <c r="J132" s="51">
        <f>IF(ISBLANK(Projection!P129), "", Projection!P129)</f>
        <v>30286.31218547</v>
      </c>
      <c r="K132" s="51">
        <f>IF(ISBLANK('Committed Cost'!P129), "", 'Committed Cost'!P129)</f>
        <v>-322576.75327451</v>
      </c>
      <c r="L132" s="41">
        <f>IFERROR(IF(ISBLANK(F132), "", K132/F132), 0)</f>
        <v>3.1995433271696</v>
      </c>
      <c r="M132" s="51">
        <f>IF(F132="", "", F132-K132)</f>
        <v>221757.12988161</v>
      </c>
      <c r="N132" s="51">
        <f>IF(ISBLANK(Accrual!P129), "", Accrual!P129)</f>
        <v>-229977.82663453</v>
      </c>
      <c r="O132" s="51">
        <f>IF(ISBLANK('Cash Flow'!P129), "",'Cash Flow'!P129)</f>
        <v>-171446.33297454</v>
      </c>
      <c r="P132" s="41">
        <f>IFERROR(IF(O132="", "", O132/K132), 0)</f>
        <v>0.53149004456822</v>
      </c>
      <c r="Q132" s="52">
        <f>IF(K132="", "", K132-O132)</f>
        <v>-151130.42029997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1014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324198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324198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60200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16710</v>
      </c>
      <c r="K16" s="43">
        <v>0</v>
      </c>
      <c r="L16" s="43">
        <v>0</v>
      </c>
      <c r="M16" s="43"/>
      <c r="N16" s="43"/>
      <c r="O16" s="43"/>
      <c r="P16" s="44">
        <f>SUM(C16:O16)</f>
        <v>76910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254400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-10529</v>
      </c>
      <c r="K22" s="43">
        <v>0</v>
      </c>
      <c r="L22" s="43">
        <v>0</v>
      </c>
      <c r="M22" s="43"/>
      <c r="N22" s="43"/>
      <c r="O22" s="43"/>
      <c r="P22" s="44">
        <f>SUM(C22:O22)</f>
        <v>243871</v>
      </c>
    </row>
    <row r="23" spans="1:16" customHeight="1" ht="12.75">
      <c r="A23" s="18">
        <v>1.8</v>
      </c>
      <c r="B23" s="4" t="s">
        <v>61</v>
      </c>
      <c r="C23" s="43">
        <v>21301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21301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660099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6181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666280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47251</v>
      </c>
      <c r="D40" s="43">
        <v>0</v>
      </c>
      <c r="E40" s="43">
        <v>2800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50051</v>
      </c>
    </row>
    <row r="41" spans="1:16" customHeight="1" ht="12.75">
      <c r="A41" s="18" t="s">
        <v>83</v>
      </c>
      <c r="B41" s="4" t="s">
        <v>84</v>
      </c>
      <c r="C41" s="43">
        <v>6</v>
      </c>
      <c r="D41" s="43">
        <v>0</v>
      </c>
      <c r="E41" s="43">
        <v>6</v>
      </c>
      <c r="F41" s="43">
        <v>20</v>
      </c>
      <c r="G41" s="43">
        <v>0</v>
      </c>
      <c r="H41" s="43">
        <v>20</v>
      </c>
      <c r="I41" s="43">
        <v>17</v>
      </c>
      <c r="J41" s="43">
        <v>0</v>
      </c>
      <c r="K41" s="43">
        <v>50</v>
      </c>
      <c r="L41" s="43">
        <v>200</v>
      </c>
      <c r="M41" s="43"/>
      <c r="N41" s="43"/>
      <c r="O41" s="43"/>
      <c r="P41" s="44">
        <f>SUM(C41:O41)</f>
        <v>319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9408</v>
      </c>
      <c r="D43" s="43">
        <v>-1000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-600</v>
      </c>
      <c r="K43" s="43">
        <v>0</v>
      </c>
      <c r="L43" s="43">
        <v>0</v>
      </c>
      <c r="M43" s="43"/>
      <c r="N43" s="43"/>
      <c r="O43" s="43"/>
      <c r="P43" s="44">
        <f>SUM(C43:O43)</f>
        <v>7808</v>
      </c>
    </row>
    <row r="44" spans="1:16" customHeight="1" ht="12.75">
      <c r="A44" s="18" t="s">
        <v>89</v>
      </c>
      <c r="B44" s="4" t="s">
        <v>90</v>
      </c>
      <c r="C44" s="43">
        <v>12550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12550</v>
      </c>
    </row>
    <row r="45" spans="1:16" customHeight="1" ht="12.75">
      <c r="A45" s="18" t="s">
        <v>91</v>
      </c>
      <c r="B45" s="4" t="s">
        <v>92</v>
      </c>
      <c r="C45" s="43">
        <v>33111</v>
      </c>
      <c r="D45" s="43">
        <v>-1000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32111</v>
      </c>
    </row>
    <row r="46" spans="1:16" customHeight="1" ht="12.75">
      <c r="A46" s="18" t="s">
        <v>93</v>
      </c>
      <c r="B46" s="4" t="s">
        <v>94</v>
      </c>
      <c r="C46" s="43">
        <v>954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954</v>
      </c>
    </row>
    <row r="47" spans="1:16" customHeight="1" ht="12.75">
      <c r="A47" s="18" t="s">
        <v>95</v>
      </c>
      <c r="B47" s="4" t="s">
        <v>96</v>
      </c>
      <c r="C47" s="43">
        <v>233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233</v>
      </c>
    </row>
    <row r="48" spans="1:16" customHeight="1" ht="12.75">
      <c r="A48" s="18" t="s">
        <v>97</v>
      </c>
      <c r="B48" s="4" t="s">
        <v>98</v>
      </c>
      <c r="C48" s="43">
        <v>12357.95</v>
      </c>
      <c r="D48" s="43">
        <v>1000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13357.95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3000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12</v>
      </c>
      <c r="J50" s="43">
        <v>200</v>
      </c>
      <c r="K50" s="43">
        <v>0</v>
      </c>
      <c r="L50" s="43">
        <v>0</v>
      </c>
      <c r="M50" s="43"/>
      <c r="N50" s="43"/>
      <c r="O50" s="43"/>
      <c r="P50" s="44">
        <f>SUM(C50:O50)</f>
        <v>3212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700</v>
      </c>
      <c r="D54" s="43">
        <v>30</v>
      </c>
      <c r="E54" s="43">
        <v>0</v>
      </c>
      <c r="F54" s="43">
        <v>50</v>
      </c>
      <c r="G54" s="43">
        <v>0</v>
      </c>
      <c r="H54" s="43">
        <v>50</v>
      </c>
      <c r="I54" s="43">
        <v>57</v>
      </c>
      <c r="J54" s="43">
        <v>200</v>
      </c>
      <c r="K54" s="43">
        <v>0</v>
      </c>
      <c r="L54" s="43">
        <v>0</v>
      </c>
      <c r="M54" s="43"/>
      <c r="N54" s="43"/>
      <c r="O54" s="43"/>
      <c r="P54" s="44">
        <f>SUM(C54:O54)</f>
        <v>1087</v>
      </c>
    </row>
    <row r="55" spans="1:16" customHeight="1" ht="12.75">
      <c r="A55" s="18" t="s">
        <v>110</v>
      </c>
      <c r="B55" s="4" t="s">
        <v>111</v>
      </c>
      <c r="C55" s="43">
        <v>2345</v>
      </c>
      <c r="D55" s="43">
        <v>-30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2315</v>
      </c>
    </row>
    <row r="56" spans="1:16" customHeight="1" ht="12.75">
      <c r="A56" s="18" t="s">
        <v>112</v>
      </c>
      <c r="B56" s="4" t="s">
        <v>113</v>
      </c>
      <c r="C56" s="43">
        <v>5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5</v>
      </c>
    </row>
    <row r="57" spans="1:16" customHeight="1" ht="12.75">
      <c r="A57" s="18" t="s">
        <v>114</v>
      </c>
      <c r="B57" s="4" t="s">
        <v>115</v>
      </c>
      <c r="C57" s="43">
        <v>198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198</v>
      </c>
    </row>
    <row r="58" spans="1:16" customHeight="1" ht="12.75">
      <c r="A58" s="18" t="s">
        <v>116</v>
      </c>
      <c r="B58" s="4" t="s">
        <v>117</v>
      </c>
      <c r="C58" s="43">
        <v>886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886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250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250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2666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2666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100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100</v>
      </c>
    </row>
    <row r="74" spans="1:16" customHeight="1" ht="12.75">
      <c r="A74" s="18" t="s">
        <v>147</v>
      </c>
      <c r="B74" s="4" t="s">
        <v>148</v>
      </c>
      <c r="C74" s="43">
        <v>14562.8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14562.8</v>
      </c>
    </row>
    <row r="75" spans="1:16" customHeight="1" ht="12.75">
      <c r="A75" s="18" t="s">
        <v>149</v>
      </c>
      <c r="B75" s="4" t="s">
        <v>150</v>
      </c>
      <c r="C75" s="43">
        <v>150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150</v>
      </c>
    </row>
    <row r="76" spans="1:16" customHeight="1" ht="12.75">
      <c r="A76" s="18" t="s">
        <v>151</v>
      </c>
      <c r="B76" s="4" t="s">
        <v>152</v>
      </c>
      <c r="C76" s="43">
        <v>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466073.951</v>
      </c>
      <c r="D83" s="43">
        <v>0</v>
      </c>
      <c r="E83" s="43">
        <v>-2800</v>
      </c>
      <c r="F83" s="43">
        <v>-70</v>
      </c>
      <c r="G83" s="43">
        <v>0</v>
      </c>
      <c r="H83" s="43">
        <v>-70</v>
      </c>
      <c r="I83" s="43">
        <v>0</v>
      </c>
      <c r="J83" s="43">
        <v>0</v>
      </c>
      <c r="K83" s="43">
        <v>0</v>
      </c>
      <c r="L83" s="43">
        <v>7000</v>
      </c>
      <c r="M83" s="43"/>
      <c r="N83" s="43"/>
      <c r="O83" s="43"/>
      <c r="P83" s="44">
        <f>SUM(C83:O83)</f>
        <v>470133.951</v>
      </c>
    </row>
    <row r="84" spans="1:16" customHeight="1" ht="12.75">
      <c r="A84" s="18" t="s">
        <v>166</v>
      </c>
      <c r="B84" s="4" t="s">
        <v>167</v>
      </c>
      <c r="C84" s="43">
        <v>30313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-486</v>
      </c>
      <c r="K84" s="43">
        <v>0</v>
      </c>
      <c r="L84" s="43">
        <v>0</v>
      </c>
      <c r="M84" s="43"/>
      <c r="N84" s="43"/>
      <c r="O84" s="43"/>
      <c r="P84" s="44">
        <f>SUM(C84:O84)</f>
        <v>29827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-43819</v>
      </c>
      <c r="K89" s="43">
        <v>-50</v>
      </c>
      <c r="L89" s="43">
        <v>-8200</v>
      </c>
      <c r="M89" s="43"/>
      <c r="N89" s="43"/>
      <c r="O89" s="43"/>
      <c r="P89" s="44">
        <f>SUM(C89:O89)</f>
        <v>-52069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2420</v>
      </c>
      <c r="D92" s="43">
        <v>1000</v>
      </c>
      <c r="E92" s="43">
        <v>-6</v>
      </c>
      <c r="F92" s="43">
        <v>0</v>
      </c>
      <c r="G92" s="43">
        <v>0</v>
      </c>
      <c r="H92" s="43">
        <v>0</v>
      </c>
      <c r="I92" s="43">
        <v>0</v>
      </c>
      <c r="J92" s="43">
        <v>600</v>
      </c>
      <c r="K92" s="43">
        <v>0</v>
      </c>
      <c r="L92" s="43">
        <v>1000</v>
      </c>
      <c r="M92" s="43"/>
      <c r="N92" s="43"/>
      <c r="O92" s="43"/>
      <c r="P92" s="44">
        <f>SUM(C92:O92)</f>
        <v>5014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639548.701</v>
      </c>
      <c r="D107" s="47">
        <f>SUM(D38:D106)</f>
        <v>0</v>
      </c>
      <c r="E107" s="47">
        <f>SUM(E38:E106)</f>
        <v>0</v>
      </c>
      <c r="F107" s="47">
        <f>SUM(F38:F106)</f>
        <v>0</v>
      </c>
      <c r="G107" s="47">
        <f>SUM(G38:G106)</f>
        <v>0</v>
      </c>
      <c r="H107" s="47">
        <f>SUM(H38:H106)</f>
        <v>0</v>
      </c>
      <c r="I107" s="47">
        <f>SUM(I38:I106)</f>
        <v>86</v>
      </c>
      <c r="J107" s="47">
        <f>SUM(J38:J106)</f>
        <v>-43905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595729.701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20550.299</v>
      </c>
      <c r="D109" s="49">
        <f>D36-D107</f>
        <v>0</v>
      </c>
      <c r="E109" s="49">
        <f>E36-E107</f>
        <v>0</v>
      </c>
      <c r="F109" s="49">
        <f>F36-F107</f>
        <v>0</v>
      </c>
      <c r="G109" s="49">
        <f>G36-G107</f>
        <v>0</v>
      </c>
      <c r="H109" s="49">
        <f>H36-H107</f>
        <v>0</v>
      </c>
      <c r="I109" s="49">
        <f>I36-I107</f>
        <v>-86</v>
      </c>
      <c r="J109" s="49">
        <f>J36-J107</f>
        <v>50086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70550.299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-954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-954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8770.45215322</v>
      </c>
      <c r="D118" s="45">
        <v>527.80081989</v>
      </c>
      <c r="E118" s="45">
        <v>586.08748755</v>
      </c>
      <c r="F118" s="45">
        <v>599.05718892</v>
      </c>
      <c r="G118" s="45">
        <v>606.98116541</v>
      </c>
      <c r="H118" s="45">
        <v>617.21212948</v>
      </c>
      <c r="I118" s="45">
        <v>632.94533239</v>
      </c>
      <c r="J118" s="45">
        <v>653.08515511</v>
      </c>
      <c r="K118" s="45">
        <v>676.33981005</v>
      </c>
      <c r="L118" s="45">
        <v>711.39557251</v>
      </c>
      <c r="M118" s="45"/>
      <c r="N118" s="45"/>
      <c r="O118" s="45"/>
      <c r="P118" s="46">
        <f>SUM(C118:O118)</f>
        <v>14381.35681453</v>
      </c>
    </row>
    <row r="119" spans="1:16" customHeight="1" ht="12.75">
      <c r="A119" s="20">
        <v>4.3</v>
      </c>
      <c r="B119" s="15" t="s">
        <v>210</v>
      </c>
      <c r="C119" s="47">
        <f>SUM(C111:C118)</f>
        <v>7816.45215322</v>
      </c>
      <c r="D119" s="47">
        <f>SUM(D111:D118)</f>
        <v>527.80081989</v>
      </c>
      <c r="E119" s="47">
        <f>SUM(E111:E118)</f>
        <v>586.08748755</v>
      </c>
      <c r="F119" s="47">
        <f>SUM(F111:F118)</f>
        <v>599.05718892</v>
      </c>
      <c r="G119" s="47">
        <f>SUM(G111:G118)</f>
        <v>606.98116541</v>
      </c>
      <c r="H119" s="47">
        <f>SUM(H111:H118)</f>
        <v>617.21212948</v>
      </c>
      <c r="I119" s="47">
        <f>SUM(I111:I118)</f>
        <v>632.94533239</v>
      </c>
      <c r="J119" s="47">
        <f>SUM(J111:J118)</f>
        <v>653.08515511</v>
      </c>
      <c r="K119" s="47">
        <f>SUM(K111:K118)</f>
        <v>676.33981005</v>
      </c>
      <c r="L119" s="47">
        <f>SUM(L111:L118)</f>
        <v>711.39557251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13427.35681453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12733.84684678</v>
      </c>
      <c r="D121" s="49">
        <f>D109-D119</f>
        <v>-527.80081989</v>
      </c>
      <c r="E121" s="49">
        <f>E109-E119</f>
        <v>-586.08748755</v>
      </c>
      <c r="F121" s="49">
        <f>F109-F119</f>
        <v>-599.05718892</v>
      </c>
      <c r="G121" s="49">
        <f>G109-G119</f>
        <v>-606.98116541</v>
      </c>
      <c r="H121" s="49">
        <f>H109-H119</f>
        <v>-617.21212948</v>
      </c>
      <c r="I121" s="49">
        <f>I109-I119</f>
        <v>-718.94533239</v>
      </c>
      <c r="J121" s="49">
        <f>J109-J119</f>
        <v>49432.91484489</v>
      </c>
      <c r="K121" s="49">
        <f>K109-K119</f>
        <v>-676.33981005</v>
      </c>
      <c r="L121" s="49">
        <f>L109-L119</f>
        <v>-711.39557251</v>
      </c>
      <c r="M121" s="49"/>
      <c r="N121" s="49"/>
      <c r="O121" s="49"/>
      <c r="P121" s="50">
        <f>P109-P119</f>
        <v>57122.94218547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19802.97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370.86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20173.83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6600.99</v>
      </c>
      <c r="D126" s="43">
        <f>(D36-D18-D20-D33)*0.010000</f>
        <v>0</v>
      </c>
      <c r="E126" s="43">
        <f>(E36-E18-E20-E33)*0.010000</f>
        <v>0</v>
      </c>
      <c r="F126" s="43">
        <f>(F36-F18-F20-F33)*0.010000</f>
        <v>0</v>
      </c>
      <c r="G126" s="43">
        <f>(G36-G18-G20-G33)*0.010000</f>
        <v>0</v>
      </c>
      <c r="H126" s="43">
        <f>(H36-H18-H20-H33)*0.010000</f>
        <v>0</v>
      </c>
      <c r="I126" s="43">
        <f>(I36-I18-I20-I33)*0.010000</f>
        <v>0</v>
      </c>
      <c r="J126" s="43">
        <f>(J36-J18-J20-J33)*0.010000</f>
        <v>61.81</v>
      </c>
      <c r="K126" s="43">
        <f>(K36-K18-K20-K33)*0.010000</f>
        <v>0</v>
      </c>
      <c r="L126" s="43">
        <f>(L36-L18-L20-L33)*0.010000</f>
        <v>0</v>
      </c>
      <c r="M126" s="43"/>
      <c r="N126" s="43"/>
      <c r="O126" s="43"/>
      <c r="P126" s="44">
        <f>(P36-P18-P20-P33)*0.010000</f>
        <v>6662.8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-13670.11315322</v>
      </c>
      <c r="D129" s="51">
        <f>D121-SUM(D125:D126)+IF(ISBLANK(D127), 0, D127)</f>
        <v>-527.80081989</v>
      </c>
      <c r="E129" s="51">
        <f>E121-SUM(E125:E126)+IF(ISBLANK(E127), 0, E127)</f>
        <v>-586.08748755</v>
      </c>
      <c r="F129" s="51">
        <f>F121-SUM(F125:F126)+IF(ISBLANK(F127), 0, F127)</f>
        <v>-599.05718892</v>
      </c>
      <c r="G129" s="51">
        <f>G121-SUM(G125:G126)+IF(ISBLANK(G127), 0, G127)</f>
        <v>-606.98116541</v>
      </c>
      <c r="H129" s="51">
        <f>H121-SUM(H125:H126)+IF(ISBLANK(H127), 0, H127)</f>
        <v>-617.21212948</v>
      </c>
      <c r="I129" s="51">
        <f>I121-SUM(I125:I126)+IF(ISBLANK(I127), 0, I127)</f>
        <v>-718.94533239</v>
      </c>
      <c r="J129" s="51">
        <f>J121-SUM(J125:J126)+IF(ISBLANK(J127), 0, J127)</f>
        <v>49000.24484489</v>
      </c>
      <c r="K129" s="51">
        <f>K121-SUM(K125:K126)+IF(ISBLANK(K127), 0, K127)</f>
        <v>-676.33981005</v>
      </c>
      <c r="L129" s="51">
        <f>L121-SUM(L125:L126)+IF(ISBLANK(L127), 0, L127)</f>
        <v>-711.39557251</v>
      </c>
      <c r="M129" s="51"/>
      <c r="N129" s="51"/>
      <c r="O129" s="51"/>
      <c r="P129" s="52">
        <f>P121-SUM(P125:P126)+IF(ISBLANK(P127), 0, P127)</f>
        <v>30286.31218547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1014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323190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323190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751.66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751.66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10104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10104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334045.66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334045.66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43025.98491</v>
      </c>
      <c r="D40" s="43">
        <v>418.11</v>
      </c>
      <c r="E40" s="43">
        <v>594.82</v>
      </c>
      <c r="F40" s="43">
        <v>656.12</v>
      </c>
      <c r="G40" s="43">
        <v>798.22</v>
      </c>
      <c r="H40" s="43">
        <v>671.06</v>
      </c>
      <c r="I40" s="43">
        <v>840.03</v>
      </c>
      <c r="J40" s="43">
        <v>608.8081</v>
      </c>
      <c r="K40" s="43">
        <v>661.0447</v>
      </c>
      <c r="L40" s="43">
        <v>993.0048</v>
      </c>
      <c r="M40" s="43"/>
      <c r="N40" s="43"/>
      <c r="O40" s="43"/>
      <c r="P40" s="44">
        <f>SUM(C40:O40)</f>
        <v>49267.20251</v>
      </c>
    </row>
    <row r="41" spans="1:16" customHeight="1" ht="12.75">
      <c r="A41" s="18" t="s">
        <v>83</v>
      </c>
      <c r="B41" s="4" t="s">
        <v>84</v>
      </c>
      <c r="C41" s="43">
        <v>6</v>
      </c>
      <c r="D41" s="43">
        <v>0</v>
      </c>
      <c r="E41" s="43">
        <v>4.69</v>
      </c>
      <c r="F41" s="43">
        <v>4.7635</v>
      </c>
      <c r="G41" s="43">
        <v>0</v>
      </c>
      <c r="H41" s="43">
        <v>23.62</v>
      </c>
      <c r="I41" s="43">
        <v>29.61383</v>
      </c>
      <c r="J41" s="43">
        <v>0.15927</v>
      </c>
      <c r="K41" s="43">
        <v>26.84009</v>
      </c>
      <c r="L41" s="43">
        <v>116.56</v>
      </c>
      <c r="M41" s="43"/>
      <c r="N41" s="43"/>
      <c r="O41" s="43"/>
      <c r="P41" s="44">
        <f>SUM(C41:O41)</f>
        <v>212.24669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7590.2812</v>
      </c>
      <c r="D43" s="43">
        <v>15.74</v>
      </c>
      <c r="E43" s="43">
        <v>10</v>
      </c>
      <c r="F43" s="43">
        <v>9.19</v>
      </c>
      <c r="G43" s="43">
        <v>0</v>
      </c>
      <c r="H43" s="43">
        <v>11.3</v>
      </c>
      <c r="I43" s="43">
        <v>0</v>
      </c>
      <c r="J43" s="43">
        <v>-62.61292</v>
      </c>
      <c r="K43" s="43">
        <v>0</v>
      </c>
      <c r="L43" s="43">
        <v>3</v>
      </c>
      <c r="M43" s="43"/>
      <c r="N43" s="43"/>
      <c r="O43" s="43"/>
      <c r="P43" s="44">
        <f>SUM(C43:O43)</f>
        <v>7576.89828</v>
      </c>
    </row>
    <row r="44" spans="1:16" customHeight="1" ht="12.75">
      <c r="A44" s="18" t="s">
        <v>89</v>
      </c>
      <c r="B44" s="4" t="s">
        <v>90</v>
      </c>
      <c r="C44" s="43">
        <v>10849.83888</v>
      </c>
      <c r="D44" s="43">
        <v>0</v>
      </c>
      <c r="E44" s="43">
        <v>0</v>
      </c>
      <c r="F44" s="43">
        <v>0</v>
      </c>
      <c r="G44" s="43">
        <v>-615.735</v>
      </c>
      <c r="H44" s="43">
        <v>0</v>
      </c>
      <c r="I44" s="43">
        <v>1008.657</v>
      </c>
      <c r="J44" s="43">
        <v>340.25479</v>
      </c>
      <c r="K44" s="43">
        <v>2.256</v>
      </c>
      <c r="L44" s="43">
        <v>15.627</v>
      </c>
      <c r="M44" s="43"/>
      <c r="N44" s="43"/>
      <c r="O44" s="43"/>
      <c r="P44" s="44">
        <f>SUM(C44:O44)</f>
        <v>11600.89867</v>
      </c>
    </row>
    <row r="45" spans="1:16" customHeight="1" ht="12.75">
      <c r="A45" s="18" t="s">
        <v>91</v>
      </c>
      <c r="B45" s="4" t="s">
        <v>92</v>
      </c>
      <c r="C45" s="43">
        <v>22324.27355</v>
      </c>
      <c r="D45" s="43">
        <v>279.15351</v>
      </c>
      <c r="E45" s="43">
        <v>812.12845</v>
      </c>
      <c r="F45" s="43">
        <v>713.04697</v>
      </c>
      <c r="G45" s="43">
        <v>246.76685</v>
      </c>
      <c r="H45" s="43">
        <v>544.23636</v>
      </c>
      <c r="I45" s="43">
        <v>522.61433</v>
      </c>
      <c r="J45" s="43">
        <v>206.70453</v>
      </c>
      <c r="K45" s="43">
        <v>313.35584</v>
      </c>
      <c r="L45" s="43">
        <v>527.824</v>
      </c>
      <c r="M45" s="43"/>
      <c r="N45" s="43"/>
      <c r="O45" s="43"/>
      <c r="P45" s="44">
        <f>SUM(C45:O45)</f>
        <v>26490.10439</v>
      </c>
    </row>
    <row r="46" spans="1:16" customHeight="1" ht="12.75">
      <c r="A46" s="18" t="s">
        <v>93</v>
      </c>
      <c r="B46" s="4" t="s">
        <v>94</v>
      </c>
      <c r="C46" s="43">
        <v>658.2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658.2</v>
      </c>
    </row>
    <row r="47" spans="1:16" customHeight="1" ht="12.75">
      <c r="A47" s="18" t="s">
        <v>95</v>
      </c>
      <c r="B47" s="4" t="s">
        <v>96</v>
      </c>
      <c r="C47" s="43">
        <v>159.58721</v>
      </c>
      <c r="D47" s="43">
        <v>2.1786</v>
      </c>
      <c r="E47" s="43">
        <v>0</v>
      </c>
      <c r="F47" s="43">
        <v>1.2489</v>
      </c>
      <c r="G47" s="43">
        <v>0</v>
      </c>
      <c r="H47" s="43">
        <v>2.0813</v>
      </c>
      <c r="I47" s="43">
        <v>5.485</v>
      </c>
      <c r="J47" s="43">
        <v>0.09412</v>
      </c>
      <c r="K47" s="43">
        <v>0</v>
      </c>
      <c r="L47" s="43">
        <v>0.6907</v>
      </c>
      <c r="M47" s="43"/>
      <c r="N47" s="43"/>
      <c r="O47" s="43"/>
      <c r="P47" s="44">
        <f>SUM(C47:O47)</f>
        <v>171.36583</v>
      </c>
    </row>
    <row r="48" spans="1:16" customHeight="1" ht="12.75">
      <c r="A48" s="18" t="s">
        <v>97</v>
      </c>
      <c r="B48" s="4" t="s">
        <v>98</v>
      </c>
      <c r="C48" s="43">
        <v>12255.277</v>
      </c>
      <c r="D48" s="43">
        <v>53</v>
      </c>
      <c r="E48" s="43">
        <v>53</v>
      </c>
      <c r="F48" s="43">
        <v>53</v>
      </c>
      <c r="G48" s="43">
        <v>53</v>
      </c>
      <c r="H48" s="43">
        <v>53</v>
      </c>
      <c r="I48" s="43">
        <v>53</v>
      </c>
      <c r="J48" s="43">
        <v>76.3</v>
      </c>
      <c r="K48" s="43">
        <v>83.6</v>
      </c>
      <c r="L48" s="43">
        <v>6</v>
      </c>
      <c r="M48" s="43"/>
      <c r="N48" s="43"/>
      <c r="O48" s="43"/>
      <c r="P48" s="44">
        <f>SUM(C48:O48)</f>
        <v>12739.177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2864.64037</v>
      </c>
      <c r="D50" s="43">
        <v>24.009</v>
      </c>
      <c r="E50" s="43">
        <v>9.912</v>
      </c>
      <c r="F50" s="43">
        <v>26.88</v>
      </c>
      <c r="G50" s="43">
        <v>13.69</v>
      </c>
      <c r="H50" s="43">
        <v>37.888</v>
      </c>
      <c r="I50" s="43">
        <v>14.872</v>
      </c>
      <c r="J50" s="43">
        <v>24.285</v>
      </c>
      <c r="K50" s="43">
        <v>2.4</v>
      </c>
      <c r="L50" s="43">
        <v>23.812</v>
      </c>
      <c r="M50" s="43"/>
      <c r="N50" s="43"/>
      <c r="O50" s="43"/>
      <c r="P50" s="44">
        <f>SUM(C50:O50)</f>
        <v>3042.38837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655.5235</v>
      </c>
      <c r="D54" s="43">
        <v>46.3745</v>
      </c>
      <c r="E54" s="43">
        <v>5.832</v>
      </c>
      <c r="F54" s="43">
        <v>1.212</v>
      </c>
      <c r="G54" s="43">
        <v>63.556</v>
      </c>
      <c r="H54" s="43">
        <v>33.288</v>
      </c>
      <c r="I54" s="43">
        <v>0</v>
      </c>
      <c r="J54" s="43">
        <v>71.618</v>
      </c>
      <c r="K54" s="43">
        <v>23.87</v>
      </c>
      <c r="L54" s="43">
        <v>0</v>
      </c>
      <c r="M54" s="43"/>
      <c r="N54" s="43"/>
      <c r="O54" s="43"/>
      <c r="P54" s="44">
        <f>SUM(C54:O54)</f>
        <v>901.274</v>
      </c>
    </row>
    <row r="55" spans="1:16" customHeight="1" ht="12.75">
      <c r="A55" s="18" t="s">
        <v>110</v>
      </c>
      <c r="B55" s="4" t="s">
        <v>111</v>
      </c>
      <c r="C55" s="43">
        <v>464.29693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464.29693</v>
      </c>
    </row>
    <row r="56" spans="1:16" customHeight="1" ht="12.75">
      <c r="A56" s="18" t="s">
        <v>112</v>
      </c>
      <c r="B56" s="4" t="s">
        <v>113</v>
      </c>
      <c r="C56" s="43">
        <v>1.18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1.18</v>
      </c>
    </row>
    <row r="57" spans="1:16" customHeight="1" ht="12.75">
      <c r="A57" s="18" t="s">
        <v>114</v>
      </c>
      <c r="B57" s="4" t="s">
        <v>115</v>
      </c>
      <c r="C57" s="43">
        <v>198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198</v>
      </c>
    </row>
    <row r="58" spans="1:16" customHeight="1" ht="12.75">
      <c r="A58" s="18" t="s">
        <v>116</v>
      </c>
      <c r="B58" s="4" t="s">
        <v>117</v>
      </c>
      <c r="C58" s="43">
        <v>575.07197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575.07197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14.693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14.693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1984.82692</v>
      </c>
      <c r="D66" s="43">
        <v>0</v>
      </c>
      <c r="E66" s="43">
        <v>7.25415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1992.08107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0.4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0.4</v>
      </c>
    </row>
    <row r="74" spans="1:16" customHeight="1" ht="12.75">
      <c r="A74" s="18" t="s">
        <v>147</v>
      </c>
      <c r="B74" s="4" t="s">
        <v>148</v>
      </c>
      <c r="C74" s="43">
        <v>12313.51844</v>
      </c>
      <c r="D74" s="43">
        <v>0</v>
      </c>
      <c r="E74" s="43">
        <v>217.14</v>
      </c>
      <c r="F74" s="43">
        <v>0</v>
      </c>
      <c r="G74" s="43">
        <v>421</v>
      </c>
      <c r="H74" s="43">
        <v>58.4681</v>
      </c>
      <c r="I74" s="43">
        <v>0</v>
      </c>
      <c r="J74" s="43">
        <v>0</v>
      </c>
      <c r="K74" s="43">
        <v>91</v>
      </c>
      <c r="L74" s="43">
        <v>5.25</v>
      </c>
      <c r="M74" s="43"/>
      <c r="N74" s="43"/>
      <c r="O74" s="43"/>
      <c r="P74" s="44">
        <f>SUM(C74:O74)</f>
        <v>13106.37654</v>
      </c>
    </row>
    <row r="75" spans="1:16" customHeight="1" ht="12.75">
      <c r="A75" s="18" t="s">
        <v>149</v>
      </c>
      <c r="B75" s="4" t="s">
        <v>150</v>
      </c>
      <c r="C75" s="43">
        <v>110.0163</v>
      </c>
      <c r="D75" s="43">
        <v>0</v>
      </c>
      <c r="E75" s="43">
        <v>0</v>
      </c>
      <c r="F75" s="43">
        <v>0</v>
      </c>
      <c r="G75" s="43">
        <v>7.38344</v>
      </c>
      <c r="H75" s="43">
        <v>0</v>
      </c>
      <c r="I75" s="43">
        <v>0</v>
      </c>
      <c r="J75" s="43">
        <v>8.34632</v>
      </c>
      <c r="K75" s="43">
        <v>0</v>
      </c>
      <c r="L75" s="43">
        <v>0</v>
      </c>
      <c r="M75" s="43"/>
      <c r="N75" s="43"/>
      <c r="O75" s="43"/>
      <c r="P75" s="44">
        <f>SUM(C75:O75)</f>
        <v>125.74606</v>
      </c>
    </row>
    <row r="76" spans="1:16" customHeight="1" ht="12.75">
      <c r="A76" s="18" t="s">
        <v>151</v>
      </c>
      <c r="B76" s="4" t="s">
        <v>152</v>
      </c>
      <c r="C76" s="43">
        <v>7.8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7.8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436730.38636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32575.725</v>
      </c>
      <c r="M83" s="43"/>
      <c r="N83" s="43"/>
      <c r="O83" s="43"/>
      <c r="P83" s="44">
        <f>SUM(C83:O83)</f>
        <v>469306.11136</v>
      </c>
    </row>
    <row r="84" spans="1:16" customHeight="1" ht="12.75">
      <c r="A84" s="18" t="s">
        <v>166</v>
      </c>
      <c r="B84" s="4" t="s">
        <v>167</v>
      </c>
      <c r="C84" s="43">
        <v>26957.56934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26957.56934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2413.29042</v>
      </c>
      <c r="D92" s="43">
        <v>386.04</v>
      </c>
      <c r="E92" s="43">
        <v>197</v>
      </c>
      <c r="F92" s="43">
        <v>153.30275</v>
      </c>
      <c r="G92" s="43">
        <v>160.75</v>
      </c>
      <c r="H92" s="43">
        <v>156.96</v>
      </c>
      <c r="I92" s="43">
        <v>156.9559</v>
      </c>
      <c r="J92" s="43">
        <v>185.96128</v>
      </c>
      <c r="K92" s="43">
        <v>149.3711</v>
      </c>
      <c r="L92" s="43">
        <v>168.7166</v>
      </c>
      <c r="M92" s="43"/>
      <c r="N92" s="43"/>
      <c r="O92" s="43"/>
      <c r="P92" s="44">
        <f>SUM(C92:O92)</f>
        <v>4128.34805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582160.6563</v>
      </c>
      <c r="D107" s="47">
        <f>SUM(D38:D106)</f>
        <v>1224.60561</v>
      </c>
      <c r="E107" s="47">
        <f>SUM(E38:E106)</f>
        <v>1911.7766</v>
      </c>
      <c r="F107" s="47">
        <f>SUM(F38:F106)</f>
        <v>1618.76412</v>
      </c>
      <c r="G107" s="47">
        <f>SUM(G38:G106)</f>
        <v>1148.63129</v>
      </c>
      <c r="H107" s="47">
        <f>SUM(H38:H106)</f>
        <v>1591.90176</v>
      </c>
      <c r="I107" s="47">
        <f>SUM(I38:I106)</f>
        <v>2631.22806</v>
      </c>
      <c r="J107" s="47">
        <f>SUM(J38:J106)</f>
        <v>1459.91849</v>
      </c>
      <c r="K107" s="47">
        <f>SUM(K38:K106)</f>
        <v>1353.73773</v>
      </c>
      <c r="L107" s="47">
        <f>SUM(L38:L106)</f>
        <v>34436.2101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629537.43006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-248114.9963</v>
      </c>
      <c r="D109" s="49">
        <f>D36-D107</f>
        <v>-1224.60561</v>
      </c>
      <c r="E109" s="49">
        <f>E36-E107</f>
        <v>-1911.7766</v>
      </c>
      <c r="F109" s="49">
        <f>F36-F107</f>
        <v>-1618.76412</v>
      </c>
      <c r="G109" s="49">
        <f>G36-G107</f>
        <v>-1148.63129</v>
      </c>
      <c r="H109" s="49">
        <f>H36-H107</f>
        <v>-1591.90176</v>
      </c>
      <c r="I109" s="49">
        <f>I36-I107</f>
        <v>-2631.22806</v>
      </c>
      <c r="J109" s="49">
        <f>J36-J107</f>
        <v>-1459.91849</v>
      </c>
      <c r="K109" s="49">
        <f>K36-K107</f>
        <v>-1353.73773</v>
      </c>
      <c r="L109" s="49">
        <f>L36-L107</f>
        <v>-34436.2101</v>
      </c>
      <c r="M109" s="49"/>
      <c r="N109" s="49"/>
      <c r="O109" s="49"/>
      <c r="P109" s="50">
        <f>P36-P107</f>
        <v>-295491.77006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-658.2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-658.2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8770.4521532</v>
      </c>
      <c r="D118" s="45">
        <v>527.80081989</v>
      </c>
      <c r="E118" s="45">
        <v>586.08748755</v>
      </c>
      <c r="F118" s="45">
        <v>599.05718892</v>
      </c>
      <c r="G118" s="45">
        <v>606.98116541</v>
      </c>
      <c r="H118" s="45">
        <v>617.21212948</v>
      </c>
      <c r="I118" s="45">
        <v>632.94533239</v>
      </c>
      <c r="J118" s="45">
        <v>653.08515511</v>
      </c>
      <c r="K118" s="45">
        <v>676.33981005</v>
      </c>
      <c r="L118" s="45">
        <v>711.39557251</v>
      </c>
      <c r="M118" s="45"/>
      <c r="N118" s="45"/>
      <c r="O118" s="45"/>
      <c r="P118" s="46">
        <f>SUM(C118:O118)</f>
        <v>14381.35681451</v>
      </c>
    </row>
    <row r="119" spans="1:16" customHeight="1" ht="12.75">
      <c r="A119" s="20">
        <v>4.3</v>
      </c>
      <c r="B119" s="15" t="s">
        <v>210</v>
      </c>
      <c r="C119" s="47">
        <f>SUM(C111:C118)</f>
        <v>8112.2521532</v>
      </c>
      <c r="D119" s="47">
        <f>SUM(D111:D118)</f>
        <v>527.80081989</v>
      </c>
      <c r="E119" s="47">
        <f>SUM(E111:E118)</f>
        <v>586.08748755</v>
      </c>
      <c r="F119" s="47">
        <f>SUM(F111:F118)</f>
        <v>599.05718892</v>
      </c>
      <c r="G119" s="47">
        <f>SUM(G111:G118)</f>
        <v>606.98116541</v>
      </c>
      <c r="H119" s="47">
        <f>SUM(H111:H118)</f>
        <v>617.21212948</v>
      </c>
      <c r="I119" s="47">
        <f>SUM(I111:I118)</f>
        <v>632.94533239</v>
      </c>
      <c r="J119" s="47">
        <f>SUM(J111:J118)</f>
        <v>653.08515511</v>
      </c>
      <c r="K119" s="47">
        <f>SUM(K111:K118)</f>
        <v>676.33981005</v>
      </c>
      <c r="L119" s="47">
        <f>SUM(L111:L118)</f>
        <v>711.39557251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13723.15681451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-256227.2484532</v>
      </c>
      <c r="D121" s="49">
        <f>D109-D119</f>
        <v>-1752.40642989</v>
      </c>
      <c r="E121" s="49">
        <f>E109-E119</f>
        <v>-2497.86408755</v>
      </c>
      <c r="F121" s="49">
        <f>F109-F119</f>
        <v>-2217.82130892</v>
      </c>
      <c r="G121" s="49">
        <f>G109-G119</f>
        <v>-1755.61245541</v>
      </c>
      <c r="H121" s="49">
        <f>H109-H119</f>
        <v>-2209.11388948</v>
      </c>
      <c r="I121" s="49">
        <f>I109-I119</f>
        <v>-3264.17339239</v>
      </c>
      <c r="J121" s="49">
        <f>J109-J119</f>
        <v>-2113.00364511</v>
      </c>
      <c r="K121" s="49">
        <f>K109-K119</f>
        <v>-2030.07754005</v>
      </c>
      <c r="L121" s="49">
        <f>L109-L119</f>
        <v>-35147.60567251</v>
      </c>
      <c r="M121" s="49"/>
      <c r="N121" s="49"/>
      <c r="O121" s="49"/>
      <c r="P121" s="50">
        <f>P109-P119</f>
        <v>-309214.92687451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10021.3698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10021.3698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3340.4566</v>
      </c>
      <c r="D126" s="43">
        <f>(D36-D18-D20-D33)*0.010000</f>
        <v>0</v>
      </c>
      <c r="E126" s="43">
        <f>(E36-E18-E20-E33)*0.010000</f>
        <v>0</v>
      </c>
      <c r="F126" s="43">
        <f>(F36-F18-F20-F33)*0.010000</f>
        <v>0</v>
      </c>
      <c r="G126" s="43">
        <f>(G36-G18-G20-G33)*0.010000</f>
        <v>0</v>
      </c>
      <c r="H126" s="43">
        <f>(H36-H18-H20-H33)*0.010000</f>
        <v>0</v>
      </c>
      <c r="I126" s="43">
        <f>(I36-I18-I20-I33)*0.010000</f>
        <v>0</v>
      </c>
      <c r="J126" s="43">
        <f>(J36-J18-J20-J33)*0.010000</f>
        <v>0</v>
      </c>
      <c r="K126" s="43">
        <f>(K36-K18-K20-K33)*0.010000</f>
        <v>0</v>
      </c>
      <c r="L126" s="43">
        <f>(L36-L18-L20-L33)*0.010000</f>
        <v>0</v>
      </c>
      <c r="M126" s="43"/>
      <c r="N126" s="43"/>
      <c r="O126" s="43"/>
      <c r="P126" s="44">
        <f>(P36-P18-P20-P33)*0.010000</f>
        <v>3340.4566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-269589.0748532</v>
      </c>
      <c r="D129" s="51">
        <f>D121-SUM(D125:D126)+IF(ISBLANK(D127), 0, D127)</f>
        <v>-1752.40642989</v>
      </c>
      <c r="E129" s="51">
        <f>E121-SUM(E125:E126)+IF(ISBLANK(E127), 0, E127)</f>
        <v>-2497.86408755</v>
      </c>
      <c r="F129" s="51">
        <f>F121-SUM(F125:F126)+IF(ISBLANK(F127), 0, F127)</f>
        <v>-2217.82130892</v>
      </c>
      <c r="G129" s="51">
        <f>G121-SUM(G125:G126)+IF(ISBLANK(G127), 0, G127)</f>
        <v>-1755.61245541</v>
      </c>
      <c r="H129" s="51">
        <f>H121-SUM(H125:H126)+IF(ISBLANK(H127), 0, H127)</f>
        <v>-2209.11388948</v>
      </c>
      <c r="I129" s="51">
        <f>I121-SUM(I125:I126)+IF(ISBLANK(I127), 0, I127)</f>
        <v>-3264.17339239</v>
      </c>
      <c r="J129" s="51">
        <f>J121-SUM(J125:J126)+IF(ISBLANK(J127), 0, J127)</f>
        <v>-2113.00364511</v>
      </c>
      <c r="K129" s="51">
        <f>K121-SUM(K125:K126)+IF(ISBLANK(K127), 0, K127)</f>
        <v>-2030.07754005</v>
      </c>
      <c r="L129" s="51">
        <f>L121-SUM(L125:L126)+IF(ISBLANK(L127), 0, L127)</f>
        <v>-35147.60567251</v>
      </c>
      <c r="M129" s="51"/>
      <c r="N129" s="51"/>
      <c r="O129" s="51"/>
      <c r="P129" s="52">
        <f>P121-SUM(P125:P126)+IF(ISBLANK(P127), 0, P127)</f>
        <v>-322576.75327451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1014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246280</v>
      </c>
      <c r="D14" s="43">
        <v>0</v>
      </c>
      <c r="E14" s="43">
        <v>1379</v>
      </c>
      <c r="F14" s="43">
        <v>1498</v>
      </c>
      <c r="G14" s="43">
        <v>1336</v>
      </c>
      <c r="H14" s="43">
        <v>1170</v>
      </c>
      <c r="I14" s="43">
        <v>1240</v>
      </c>
      <c r="J14" s="43">
        <v>119</v>
      </c>
      <c r="K14" s="43">
        <v>0</v>
      </c>
      <c r="L14" s="43">
        <v>0</v>
      </c>
      <c r="M14" s="43"/>
      <c r="N14" s="43"/>
      <c r="O14" s="43"/>
      <c r="P14" s="44">
        <f>SUM(C14:O14)</f>
        <v>253022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773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773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12465</v>
      </c>
      <c r="D23" s="43">
        <v>0</v>
      </c>
      <c r="E23" s="43">
        <v>-106</v>
      </c>
      <c r="F23" s="43">
        <v>164</v>
      </c>
      <c r="G23" s="43">
        <v>168</v>
      </c>
      <c r="H23" s="43">
        <v>47</v>
      </c>
      <c r="I23" s="43">
        <v>147</v>
      </c>
      <c r="J23" s="43">
        <v>15</v>
      </c>
      <c r="K23" s="43">
        <v>0</v>
      </c>
      <c r="L23" s="43">
        <v>0</v>
      </c>
      <c r="M23" s="43"/>
      <c r="N23" s="43"/>
      <c r="O23" s="43"/>
      <c r="P23" s="44">
        <f>SUM(C23:O23)</f>
        <v>12900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259518</v>
      </c>
      <c r="D36" s="47">
        <f>SUM(D13:D35)</f>
        <v>0</v>
      </c>
      <c r="E36" s="47">
        <f>SUM(E13:E35)</f>
        <v>1273</v>
      </c>
      <c r="F36" s="47">
        <f>SUM(F13:F35)</f>
        <v>1662</v>
      </c>
      <c r="G36" s="47">
        <f>SUM(G13:G35)</f>
        <v>1504</v>
      </c>
      <c r="H36" s="47">
        <f>SUM(H13:H35)</f>
        <v>1217</v>
      </c>
      <c r="I36" s="47">
        <f>SUM(I13:I35)</f>
        <v>1387</v>
      </c>
      <c r="J36" s="47">
        <f>SUM(J13:J35)</f>
        <v>134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266695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43025.98491</v>
      </c>
      <c r="D40" s="43">
        <v>418.11</v>
      </c>
      <c r="E40" s="43">
        <v>594.82</v>
      </c>
      <c r="F40" s="43">
        <v>656.12</v>
      </c>
      <c r="G40" s="43">
        <v>798.22</v>
      </c>
      <c r="H40" s="43">
        <v>671.06</v>
      </c>
      <c r="I40" s="43">
        <v>840.03</v>
      </c>
      <c r="J40" s="43">
        <v>608.8081</v>
      </c>
      <c r="K40" s="43">
        <v>661.0447</v>
      </c>
      <c r="L40" s="43">
        <v>993.0048</v>
      </c>
      <c r="M40" s="43"/>
      <c r="N40" s="43"/>
      <c r="O40" s="43"/>
      <c r="P40" s="44">
        <f>SUM(C40:O40)</f>
        <v>49267.20251</v>
      </c>
    </row>
    <row r="41" spans="1:16" customHeight="1" ht="12.75">
      <c r="A41" s="18" t="s">
        <v>83</v>
      </c>
      <c r="B41" s="4" t="s">
        <v>84</v>
      </c>
      <c r="C41" s="43">
        <v>6</v>
      </c>
      <c r="D41" s="43">
        <v>0</v>
      </c>
      <c r="E41" s="43">
        <v>4.69</v>
      </c>
      <c r="F41" s="43">
        <v>4.7635</v>
      </c>
      <c r="G41" s="43">
        <v>0</v>
      </c>
      <c r="H41" s="43">
        <v>23.62</v>
      </c>
      <c r="I41" s="43">
        <v>29.61383</v>
      </c>
      <c r="J41" s="43">
        <v>0.15927</v>
      </c>
      <c r="K41" s="43">
        <v>26.84009</v>
      </c>
      <c r="L41" s="43">
        <v>116.56</v>
      </c>
      <c r="M41" s="43"/>
      <c r="N41" s="43"/>
      <c r="O41" s="43"/>
      <c r="P41" s="44">
        <f>SUM(C41:O41)</f>
        <v>212.24669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7600.2812</v>
      </c>
      <c r="D43" s="43">
        <v>5.74</v>
      </c>
      <c r="E43" s="43">
        <v>10</v>
      </c>
      <c r="F43" s="43">
        <v>9.19</v>
      </c>
      <c r="G43" s="43">
        <v>0</v>
      </c>
      <c r="H43" s="43">
        <v>11.3</v>
      </c>
      <c r="I43" s="43">
        <v>0</v>
      </c>
      <c r="J43" s="43">
        <v>-62.61292</v>
      </c>
      <c r="K43" s="43">
        <v>0</v>
      </c>
      <c r="L43" s="43">
        <v>3</v>
      </c>
      <c r="M43" s="43"/>
      <c r="N43" s="43"/>
      <c r="O43" s="43"/>
      <c r="P43" s="44">
        <f>SUM(C43:O43)</f>
        <v>7576.89828</v>
      </c>
    </row>
    <row r="44" spans="1:16" customHeight="1" ht="12.75">
      <c r="A44" s="18" t="s">
        <v>89</v>
      </c>
      <c r="B44" s="4" t="s">
        <v>90</v>
      </c>
      <c r="C44" s="43">
        <v>10849.83888</v>
      </c>
      <c r="D44" s="43">
        <v>0</v>
      </c>
      <c r="E44" s="43">
        <v>0</v>
      </c>
      <c r="F44" s="43">
        <v>0</v>
      </c>
      <c r="G44" s="43">
        <v>-615.735</v>
      </c>
      <c r="H44" s="43">
        <v>0</v>
      </c>
      <c r="I44" s="43">
        <v>1008.657</v>
      </c>
      <c r="J44" s="43">
        <v>340.25479</v>
      </c>
      <c r="K44" s="43">
        <v>2.256</v>
      </c>
      <c r="L44" s="43">
        <v>15.627</v>
      </c>
      <c r="M44" s="43"/>
      <c r="N44" s="43"/>
      <c r="O44" s="43"/>
      <c r="P44" s="44">
        <f>SUM(C44:O44)</f>
        <v>11600.89867</v>
      </c>
    </row>
    <row r="45" spans="1:16" customHeight="1" ht="12.75">
      <c r="A45" s="18" t="s">
        <v>91</v>
      </c>
      <c r="B45" s="4" t="s">
        <v>92</v>
      </c>
      <c r="C45" s="43">
        <v>22020.84272</v>
      </c>
      <c r="D45" s="43">
        <v>324.49751</v>
      </c>
      <c r="E45" s="43">
        <v>791.16845</v>
      </c>
      <c r="F45" s="43">
        <v>659.65697</v>
      </c>
      <c r="G45" s="43">
        <v>260.47685</v>
      </c>
      <c r="H45" s="43">
        <v>462.18636</v>
      </c>
      <c r="I45" s="43">
        <v>522.06433</v>
      </c>
      <c r="J45" s="43">
        <v>267.17453</v>
      </c>
      <c r="K45" s="43">
        <v>334.59584</v>
      </c>
      <c r="L45" s="43">
        <v>527.824</v>
      </c>
      <c r="M45" s="43"/>
      <c r="N45" s="43"/>
      <c r="O45" s="43"/>
      <c r="P45" s="44">
        <f>SUM(C45:O45)</f>
        <v>26170.48756</v>
      </c>
    </row>
    <row r="46" spans="1:16" customHeight="1" ht="12.75">
      <c r="A46" s="18" t="s">
        <v>93</v>
      </c>
      <c r="B46" s="4" t="s">
        <v>94</v>
      </c>
      <c r="C46" s="43">
        <v>658.2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658.2</v>
      </c>
    </row>
    <row r="47" spans="1:16" customHeight="1" ht="12.75">
      <c r="A47" s="18" t="s">
        <v>95</v>
      </c>
      <c r="B47" s="4" t="s">
        <v>96</v>
      </c>
      <c r="C47" s="43">
        <v>159.58721</v>
      </c>
      <c r="D47" s="43">
        <v>2.1786</v>
      </c>
      <c r="E47" s="43">
        <v>0</v>
      </c>
      <c r="F47" s="43">
        <v>1.2489</v>
      </c>
      <c r="G47" s="43">
        <v>0</v>
      </c>
      <c r="H47" s="43">
        <v>2.0813</v>
      </c>
      <c r="I47" s="43">
        <v>5.485</v>
      </c>
      <c r="J47" s="43">
        <v>0.09412</v>
      </c>
      <c r="K47" s="43">
        <v>0</v>
      </c>
      <c r="L47" s="43">
        <v>0.6907</v>
      </c>
      <c r="M47" s="43"/>
      <c r="N47" s="43"/>
      <c r="O47" s="43"/>
      <c r="P47" s="44">
        <f>SUM(C47:O47)</f>
        <v>171.36583</v>
      </c>
    </row>
    <row r="48" spans="1:16" customHeight="1" ht="12.75">
      <c r="A48" s="18" t="s">
        <v>97</v>
      </c>
      <c r="B48" s="4" t="s">
        <v>98</v>
      </c>
      <c r="C48" s="43">
        <v>11878.96875</v>
      </c>
      <c r="D48" s="43">
        <v>48.67903</v>
      </c>
      <c r="E48" s="43">
        <v>68.92222</v>
      </c>
      <c r="F48" s="43">
        <v>53</v>
      </c>
      <c r="G48" s="43">
        <v>123.606</v>
      </c>
      <c r="H48" s="43">
        <v>53</v>
      </c>
      <c r="I48" s="43">
        <v>53</v>
      </c>
      <c r="J48" s="43">
        <v>306.327</v>
      </c>
      <c r="K48" s="43">
        <v>83.6</v>
      </c>
      <c r="L48" s="43">
        <v>6</v>
      </c>
      <c r="M48" s="43"/>
      <c r="N48" s="43"/>
      <c r="O48" s="43"/>
      <c r="P48" s="44">
        <f>SUM(C48:O48)</f>
        <v>12675.103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2733.69927</v>
      </c>
      <c r="D50" s="43">
        <v>76.783</v>
      </c>
      <c r="E50" s="43">
        <v>25.4634</v>
      </c>
      <c r="F50" s="43">
        <v>30.52</v>
      </c>
      <c r="G50" s="43">
        <v>9.85</v>
      </c>
      <c r="H50" s="43">
        <v>24.818</v>
      </c>
      <c r="I50" s="43">
        <v>2.443</v>
      </c>
      <c r="J50" s="43">
        <v>38.495</v>
      </c>
      <c r="K50" s="43">
        <v>2.4</v>
      </c>
      <c r="L50" s="43">
        <v>0.2</v>
      </c>
      <c r="M50" s="43"/>
      <c r="N50" s="43"/>
      <c r="O50" s="43"/>
      <c r="P50" s="44">
        <f>SUM(C50:O50)</f>
        <v>2944.67167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655.5235</v>
      </c>
      <c r="D54" s="43">
        <v>52.2065</v>
      </c>
      <c r="E54" s="43">
        <v>63.556</v>
      </c>
      <c r="F54" s="43">
        <v>0</v>
      </c>
      <c r="G54" s="43">
        <v>33.288</v>
      </c>
      <c r="H54" s="43">
        <v>0</v>
      </c>
      <c r="I54" s="43">
        <v>0</v>
      </c>
      <c r="J54" s="43">
        <v>95.488</v>
      </c>
      <c r="K54" s="43">
        <v>0</v>
      </c>
      <c r="L54" s="43">
        <v>0</v>
      </c>
      <c r="M54" s="43"/>
      <c r="N54" s="43"/>
      <c r="O54" s="43"/>
      <c r="P54" s="44">
        <f>SUM(C54:O54)</f>
        <v>900.062</v>
      </c>
    </row>
    <row r="55" spans="1:16" customHeight="1" ht="12.75">
      <c r="A55" s="18" t="s">
        <v>110</v>
      </c>
      <c r="B55" s="4" t="s">
        <v>111</v>
      </c>
      <c r="C55" s="43">
        <v>464.29693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464.29693</v>
      </c>
    </row>
    <row r="56" spans="1:16" customHeight="1" ht="12.75">
      <c r="A56" s="18" t="s">
        <v>112</v>
      </c>
      <c r="B56" s="4" t="s">
        <v>113</v>
      </c>
      <c r="C56" s="43">
        <v>1.18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1.18</v>
      </c>
    </row>
    <row r="57" spans="1:16" customHeight="1" ht="12.75">
      <c r="A57" s="18" t="s">
        <v>114</v>
      </c>
      <c r="B57" s="4" t="s">
        <v>115</v>
      </c>
      <c r="C57" s="43">
        <v>198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198</v>
      </c>
    </row>
    <row r="58" spans="1:16" customHeight="1" ht="12.75">
      <c r="A58" s="18" t="s">
        <v>116</v>
      </c>
      <c r="B58" s="4" t="s">
        <v>117</v>
      </c>
      <c r="C58" s="43">
        <v>575.07197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575.07197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14.693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14.693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1696.59292</v>
      </c>
      <c r="D66" s="43">
        <v>12.30415</v>
      </c>
      <c r="E66" s="43">
        <v>0.48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1709.37707</v>
      </c>
    </row>
    <row r="67" spans="1:16" customHeight="1" ht="12.75">
      <c r="A67" s="18" t="s">
        <v>134</v>
      </c>
      <c r="B67" s="4" t="s">
        <v>135</v>
      </c>
      <c r="C67" s="43">
        <v>214.7915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30</v>
      </c>
      <c r="K67" s="43">
        <v>0</v>
      </c>
      <c r="L67" s="43">
        <v>0</v>
      </c>
      <c r="M67" s="43"/>
      <c r="N67" s="43"/>
      <c r="O67" s="43"/>
      <c r="P67" s="44">
        <f>SUM(C67:O67)</f>
        <v>244.7915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0.4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0.4</v>
      </c>
    </row>
    <row r="74" spans="1:16" customHeight="1" ht="12.75">
      <c r="A74" s="18" t="s">
        <v>147</v>
      </c>
      <c r="B74" s="4" t="s">
        <v>148</v>
      </c>
      <c r="C74" s="43">
        <v>8514.39244</v>
      </c>
      <c r="D74" s="43">
        <v>394.216</v>
      </c>
      <c r="E74" s="43">
        <v>230.74</v>
      </c>
      <c r="F74" s="43">
        <v>130.4</v>
      </c>
      <c r="G74" s="43">
        <v>130.961</v>
      </c>
      <c r="H74" s="43">
        <v>64.1681</v>
      </c>
      <c r="I74" s="43">
        <v>0</v>
      </c>
      <c r="J74" s="43">
        <v>178.4</v>
      </c>
      <c r="K74" s="43">
        <v>55</v>
      </c>
      <c r="L74" s="43">
        <v>0</v>
      </c>
      <c r="M74" s="43"/>
      <c r="N74" s="43"/>
      <c r="O74" s="43"/>
      <c r="P74" s="44">
        <f>SUM(C74:O74)</f>
        <v>9698.27754</v>
      </c>
    </row>
    <row r="75" spans="1:16" customHeight="1" ht="12.75">
      <c r="A75" s="18" t="s">
        <v>149</v>
      </c>
      <c r="B75" s="4" t="s">
        <v>150</v>
      </c>
      <c r="C75" s="43">
        <v>110.0163</v>
      </c>
      <c r="D75" s="43">
        <v>0</v>
      </c>
      <c r="E75" s="43">
        <v>0</v>
      </c>
      <c r="F75" s="43">
        <v>7.38344</v>
      </c>
      <c r="G75" s="43">
        <v>0</v>
      </c>
      <c r="H75" s="43">
        <v>0</v>
      </c>
      <c r="I75" s="43">
        <v>0</v>
      </c>
      <c r="J75" s="43">
        <v>8.34632</v>
      </c>
      <c r="K75" s="43">
        <v>0</v>
      </c>
      <c r="L75" s="43">
        <v>0</v>
      </c>
      <c r="M75" s="43"/>
      <c r="N75" s="43"/>
      <c r="O75" s="43"/>
      <c r="P75" s="44">
        <f>SUM(C75:O75)</f>
        <v>125.74606</v>
      </c>
    </row>
    <row r="76" spans="1:16" customHeight="1" ht="12.75">
      <c r="A76" s="18" t="s">
        <v>151</v>
      </c>
      <c r="B76" s="4" t="s">
        <v>152</v>
      </c>
      <c r="C76" s="43">
        <v>7.8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7.8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320713.60619</v>
      </c>
      <c r="D83" s="43">
        <v>1958.84</v>
      </c>
      <c r="E83" s="43">
        <v>2081.62406</v>
      </c>
      <c r="F83" s="43">
        <v>181.25</v>
      </c>
      <c r="G83" s="43">
        <v>2936.5726</v>
      </c>
      <c r="H83" s="43">
        <v>0</v>
      </c>
      <c r="I83" s="43">
        <v>0</v>
      </c>
      <c r="J83" s="43">
        <v>3681.928</v>
      </c>
      <c r="K83" s="43">
        <v>2762.368</v>
      </c>
      <c r="L83" s="43">
        <v>0</v>
      </c>
      <c r="M83" s="43"/>
      <c r="N83" s="43"/>
      <c r="O83" s="43"/>
      <c r="P83" s="44">
        <f>SUM(C83:O83)</f>
        <v>334316.18885</v>
      </c>
    </row>
    <row r="84" spans="1:16" customHeight="1" ht="12.75">
      <c r="A84" s="18" t="s">
        <v>166</v>
      </c>
      <c r="B84" s="4" t="s">
        <v>167</v>
      </c>
      <c r="C84" s="43">
        <v>3532.26015</v>
      </c>
      <c r="D84" s="43">
        <v>8332.31271</v>
      </c>
      <c r="E84" s="43">
        <v>433.4345</v>
      </c>
      <c r="F84" s="43">
        <v>5082.24118</v>
      </c>
      <c r="G84" s="43">
        <v>4119.63124</v>
      </c>
      <c r="H84" s="43">
        <v>0</v>
      </c>
      <c r="I84" s="43">
        <v>0</v>
      </c>
      <c r="J84" s="43">
        <v>2397.55197</v>
      </c>
      <c r="K84" s="43">
        <v>41.77592</v>
      </c>
      <c r="L84" s="43">
        <v>0</v>
      </c>
      <c r="M84" s="43"/>
      <c r="N84" s="43"/>
      <c r="O84" s="43"/>
      <c r="P84" s="44">
        <f>SUM(C84:O84)</f>
        <v>23939.20767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-16431.46051</v>
      </c>
      <c r="D86" s="43">
        <v>-316.9353</v>
      </c>
      <c r="E86" s="43">
        <v>439.103</v>
      </c>
      <c r="F86" s="43">
        <v>-589.01</v>
      </c>
      <c r="G86" s="43">
        <v>332.485</v>
      </c>
      <c r="H86" s="43">
        <v>716.31465</v>
      </c>
      <c r="I86" s="43">
        <v>0</v>
      </c>
      <c r="J86" s="43">
        <v>403.54813</v>
      </c>
      <c r="K86" s="43">
        <v>0</v>
      </c>
      <c r="L86" s="43">
        <v>0</v>
      </c>
      <c r="M86" s="43"/>
      <c r="N86" s="43"/>
      <c r="O86" s="43"/>
      <c r="P86" s="44">
        <f>SUM(C86:O86)</f>
        <v>-15445.95503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2631.29042</v>
      </c>
      <c r="D92" s="43">
        <v>167.66</v>
      </c>
      <c r="E92" s="43">
        <v>197.4</v>
      </c>
      <c r="F92" s="43">
        <v>153.30275</v>
      </c>
      <c r="G92" s="43">
        <v>160.75</v>
      </c>
      <c r="H92" s="43">
        <v>156.96</v>
      </c>
      <c r="I92" s="43">
        <v>156.9559</v>
      </c>
      <c r="J92" s="43">
        <v>185.99128</v>
      </c>
      <c r="K92" s="43">
        <v>149.3711</v>
      </c>
      <c r="L92" s="43">
        <v>168.7166</v>
      </c>
      <c r="M92" s="43"/>
      <c r="N92" s="43"/>
      <c r="O92" s="43"/>
      <c r="P92" s="44">
        <f>SUM(C92:O92)</f>
        <v>4128.39805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421831.85775</v>
      </c>
      <c r="D107" s="47">
        <f>SUM(D38:D106)</f>
        <v>11476.5922</v>
      </c>
      <c r="E107" s="47">
        <f>SUM(E38:E106)</f>
        <v>4941.40163</v>
      </c>
      <c r="F107" s="47">
        <f>SUM(F38:F106)</f>
        <v>6380.06674</v>
      </c>
      <c r="G107" s="47">
        <f>SUM(G38:G106)</f>
        <v>8290.10569</v>
      </c>
      <c r="H107" s="47">
        <f>SUM(H38:H106)</f>
        <v>2185.50841</v>
      </c>
      <c r="I107" s="47">
        <f>SUM(I38:I106)</f>
        <v>2618.24906</v>
      </c>
      <c r="J107" s="47">
        <f>SUM(J38:J106)</f>
        <v>8479.95359</v>
      </c>
      <c r="K107" s="47">
        <f>SUM(K38:K106)</f>
        <v>4119.25165</v>
      </c>
      <c r="L107" s="47">
        <f>SUM(L38:L106)</f>
        <v>1831.6231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472154.60982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-162313.85775</v>
      </c>
      <c r="D109" s="49">
        <f>D36-D107</f>
        <v>-11476.5922</v>
      </c>
      <c r="E109" s="49">
        <f>E36-E107</f>
        <v>-3668.40163</v>
      </c>
      <c r="F109" s="49">
        <f>F36-F107</f>
        <v>-4718.06674</v>
      </c>
      <c r="G109" s="49">
        <f>G36-G107</f>
        <v>-6786.10569</v>
      </c>
      <c r="H109" s="49">
        <f>H36-H107</f>
        <v>-968.50841</v>
      </c>
      <c r="I109" s="49">
        <f>I36-I107</f>
        <v>-1231.24906</v>
      </c>
      <c r="J109" s="49">
        <f>J36-J107</f>
        <v>-8345.95359</v>
      </c>
      <c r="K109" s="49">
        <f>K36-K107</f>
        <v>-4119.25165</v>
      </c>
      <c r="L109" s="49">
        <f>L36-L107</f>
        <v>-1831.6231</v>
      </c>
      <c r="M109" s="49"/>
      <c r="N109" s="49"/>
      <c r="O109" s="49"/>
      <c r="P109" s="50">
        <f>P36-P107</f>
        <v>-205459.60982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-658.2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-658.2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8770.45215322</v>
      </c>
      <c r="D118" s="45">
        <v>527.80081989</v>
      </c>
      <c r="E118" s="45">
        <v>586.08748755</v>
      </c>
      <c r="F118" s="45">
        <v>599.05718892</v>
      </c>
      <c r="G118" s="45">
        <v>606.98116541</v>
      </c>
      <c r="H118" s="45">
        <v>617.21212948</v>
      </c>
      <c r="I118" s="45">
        <v>632.94533239</v>
      </c>
      <c r="J118" s="45">
        <v>653.08515511</v>
      </c>
      <c r="K118" s="45">
        <v>676.33981005</v>
      </c>
      <c r="L118" s="45">
        <v>711.39557251</v>
      </c>
      <c r="M118" s="45"/>
      <c r="N118" s="45"/>
      <c r="O118" s="45"/>
      <c r="P118" s="46">
        <f>SUM(C118:O118)</f>
        <v>14381.35681453</v>
      </c>
    </row>
    <row r="119" spans="1:16" customHeight="1" ht="12.75">
      <c r="A119" s="20">
        <v>4.3</v>
      </c>
      <c r="B119" s="15" t="s">
        <v>210</v>
      </c>
      <c r="C119" s="47">
        <f>SUM(C111:C118)</f>
        <v>8112.25215322</v>
      </c>
      <c r="D119" s="47">
        <f>SUM(D111:D118)</f>
        <v>527.80081989</v>
      </c>
      <c r="E119" s="47">
        <f>SUM(E111:E118)</f>
        <v>586.08748755</v>
      </c>
      <c r="F119" s="47">
        <f>SUM(F111:F118)</f>
        <v>599.05718892</v>
      </c>
      <c r="G119" s="47">
        <f>SUM(G111:G118)</f>
        <v>606.98116541</v>
      </c>
      <c r="H119" s="47">
        <f>SUM(H111:H118)</f>
        <v>617.21212948</v>
      </c>
      <c r="I119" s="47">
        <f>SUM(I111:I118)</f>
        <v>632.94533239</v>
      </c>
      <c r="J119" s="47">
        <f>SUM(J111:J118)</f>
        <v>653.08515511</v>
      </c>
      <c r="K119" s="47">
        <f>SUM(K111:K118)</f>
        <v>676.33981005</v>
      </c>
      <c r="L119" s="47">
        <f>SUM(L111:L118)</f>
        <v>711.39557251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13723.15681453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-170426.10990322</v>
      </c>
      <c r="D121" s="49">
        <f>D109-D119</f>
        <v>-12004.39301989</v>
      </c>
      <c r="E121" s="49">
        <f>E109-E119</f>
        <v>-4254.48911755</v>
      </c>
      <c r="F121" s="49">
        <f>F109-F119</f>
        <v>-5317.12392892</v>
      </c>
      <c r="G121" s="49">
        <f>G109-G119</f>
        <v>-7393.08685541</v>
      </c>
      <c r="H121" s="49">
        <f>H109-H119</f>
        <v>-1585.72053948</v>
      </c>
      <c r="I121" s="49">
        <f>I109-I119</f>
        <v>-1864.19439239</v>
      </c>
      <c r="J121" s="49">
        <f>J109-J119</f>
        <v>-8999.03874511</v>
      </c>
      <c r="K121" s="49">
        <f>K109-K119</f>
        <v>-4795.59146005</v>
      </c>
      <c r="L121" s="49">
        <f>L109-L119</f>
        <v>-2543.01867251</v>
      </c>
      <c r="M121" s="49"/>
      <c r="N121" s="49"/>
      <c r="O121" s="49"/>
      <c r="P121" s="50">
        <f>P109-P119</f>
        <v>-219182.76663453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7785.54</v>
      </c>
      <c r="D125" s="43">
        <f>(D36-D18-D20-D33)*D124</f>
        <v>0</v>
      </c>
      <c r="E125" s="43">
        <f>(E36-E18-E20-E33)*E124</f>
        <v>38.19</v>
      </c>
      <c r="F125" s="43">
        <f>(F36-F18-F20-F33)*F124</f>
        <v>49.86</v>
      </c>
      <c r="G125" s="43">
        <f>(G36-G18-G20-G33)*G124</f>
        <v>90.24</v>
      </c>
      <c r="H125" s="43">
        <f>(H36-H18-H20-H33)*H124</f>
        <v>73.02</v>
      </c>
      <c r="I125" s="43">
        <f>(I36-I18-I20-I33)*I124</f>
        <v>83.22</v>
      </c>
      <c r="J125" s="43">
        <f>(J36-J18-J20-J33)*J124</f>
        <v>8.04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8128.11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2595.18</v>
      </c>
      <c r="D126" s="43">
        <f>(D36-D18-D20-D33)*0.010000</f>
        <v>0</v>
      </c>
      <c r="E126" s="43">
        <f>(E36-E18-E20-E33)*0.010000</f>
        <v>12.73</v>
      </c>
      <c r="F126" s="43">
        <f>(F36-F18-F20-F33)*0.010000</f>
        <v>16.62</v>
      </c>
      <c r="G126" s="43">
        <f>(G36-G18-G20-G33)*0.010000</f>
        <v>15.04</v>
      </c>
      <c r="H126" s="43">
        <f>(H36-H18-H20-H33)*0.010000</f>
        <v>12.17</v>
      </c>
      <c r="I126" s="43">
        <f>(I36-I18-I20-I33)*0.010000</f>
        <v>13.87</v>
      </c>
      <c r="J126" s="43">
        <f>(J36-J18-J20-J33)*0.010000</f>
        <v>1.34</v>
      </c>
      <c r="K126" s="43">
        <f>(K36-K18-K20-K33)*0.010000</f>
        <v>0</v>
      </c>
      <c r="L126" s="43">
        <f>(L36-L18-L20-L33)*0.010000</f>
        <v>0</v>
      </c>
      <c r="M126" s="43"/>
      <c r="N126" s="43"/>
      <c r="O126" s="43"/>
      <c r="P126" s="44">
        <f>(P36-P18-P20-P33)*0.010000</f>
        <v>2666.95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-180806.82990322</v>
      </c>
      <c r="D129" s="51">
        <f>D121-SUM(D125:D126)+IF(ISBLANK(D127), 0, D127)</f>
        <v>-12004.39301989</v>
      </c>
      <c r="E129" s="51">
        <f>E121-SUM(E125:E126)+IF(ISBLANK(E127), 0, E127)</f>
        <v>-4305.40911755</v>
      </c>
      <c r="F129" s="51">
        <f>F121-SUM(F125:F126)+IF(ISBLANK(F127), 0, F127)</f>
        <v>-5383.60392892</v>
      </c>
      <c r="G129" s="51">
        <f>G121-SUM(G125:G126)+IF(ISBLANK(G127), 0, G127)</f>
        <v>-7498.36685541</v>
      </c>
      <c r="H129" s="51">
        <f>H121-SUM(H125:H126)+IF(ISBLANK(H127), 0, H127)</f>
        <v>-1670.91053948</v>
      </c>
      <c r="I129" s="51">
        <f>I121-SUM(I125:I126)+IF(ISBLANK(I127), 0, I127)</f>
        <v>-1961.28439239</v>
      </c>
      <c r="J129" s="51">
        <f>J121-SUM(J125:J126)+IF(ISBLANK(J127), 0, J127)</f>
        <v>-9008.41874511</v>
      </c>
      <c r="K129" s="51">
        <f>K121-SUM(K125:K126)+IF(ISBLANK(K127), 0, K127)</f>
        <v>-4795.59146005</v>
      </c>
      <c r="L129" s="51">
        <f>L121-SUM(L125:L126)+IF(ISBLANK(L127), 0, L127)</f>
        <v>-2543.01867251</v>
      </c>
      <c r="M129" s="51"/>
      <c r="N129" s="51"/>
      <c r="O129" s="51"/>
      <c r="P129" s="52">
        <f>P121-SUM(P125:P126)+IF(ISBLANK(P127), 0, P127)</f>
        <v>-229977.82663453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1014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244783</v>
      </c>
      <c r="D14" s="43">
        <v>0</v>
      </c>
      <c r="E14" s="43">
        <v>0</v>
      </c>
      <c r="F14" s="43">
        <v>0</v>
      </c>
      <c r="G14" s="43">
        <v>1379</v>
      </c>
      <c r="H14" s="43">
        <v>1498</v>
      </c>
      <c r="I14" s="43">
        <v>1504</v>
      </c>
      <c r="J14" s="43">
        <v>1217</v>
      </c>
      <c r="K14" s="43">
        <v>1387</v>
      </c>
      <c r="L14" s="43">
        <v>134</v>
      </c>
      <c r="M14" s="43"/>
      <c r="N14" s="43"/>
      <c r="O14" s="43"/>
      <c r="P14" s="44">
        <f>SUM(C14:O14)</f>
        <v>251902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12563</v>
      </c>
      <c r="D23" s="43">
        <v>0</v>
      </c>
      <c r="E23" s="43">
        <v>0</v>
      </c>
      <c r="F23" s="43">
        <v>0</v>
      </c>
      <c r="G23" s="43">
        <v>-106</v>
      </c>
      <c r="H23" s="43">
        <v>164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12621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13251.2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13251.2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270597.2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1273</v>
      </c>
      <c r="H36" s="47">
        <f>SUM(H13:H35)</f>
        <v>1662</v>
      </c>
      <c r="I36" s="47">
        <f>SUM(I13:I35)</f>
        <v>1504</v>
      </c>
      <c r="J36" s="47">
        <f>SUM(J13:J35)</f>
        <v>1217</v>
      </c>
      <c r="K36" s="47">
        <f>SUM(K13:K35)</f>
        <v>1387</v>
      </c>
      <c r="L36" s="47">
        <f>SUM(L13:L35)</f>
        <v>134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277774.2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43025.98491</v>
      </c>
      <c r="D40" s="43">
        <v>418.11</v>
      </c>
      <c r="E40" s="43">
        <v>594.82</v>
      </c>
      <c r="F40" s="43">
        <v>656.12</v>
      </c>
      <c r="G40" s="43">
        <v>798.22</v>
      </c>
      <c r="H40" s="43">
        <v>671.06</v>
      </c>
      <c r="I40" s="43">
        <v>840.03</v>
      </c>
      <c r="J40" s="43">
        <v>608.8081</v>
      </c>
      <c r="K40" s="43">
        <v>661.0447</v>
      </c>
      <c r="L40" s="43">
        <v>993.0048</v>
      </c>
      <c r="M40" s="43"/>
      <c r="N40" s="43"/>
      <c r="O40" s="43"/>
      <c r="P40" s="44">
        <f>SUM(C40:O40)</f>
        <v>49267.20251</v>
      </c>
    </row>
    <row r="41" spans="1:16" customHeight="1" ht="12.75">
      <c r="A41" s="18" t="s">
        <v>83</v>
      </c>
      <c r="B41" s="4" t="s">
        <v>84</v>
      </c>
      <c r="C41" s="43">
        <v>6</v>
      </c>
      <c r="D41" s="43">
        <v>0</v>
      </c>
      <c r="E41" s="43">
        <v>4.69</v>
      </c>
      <c r="F41" s="43">
        <v>4.7635</v>
      </c>
      <c r="G41" s="43">
        <v>0</v>
      </c>
      <c r="H41" s="43">
        <v>23.62</v>
      </c>
      <c r="I41" s="43">
        <v>29.61383</v>
      </c>
      <c r="J41" s="43">
        <v>0.15927</v>
      </c>
      <c r="K41" s="43">
        <v>26.84009</v>
      </c>
      <c r="L41" s="43">
        <v>116.56</v>
      </c>
      <c r="M41" s="43"/>
      <c r="N41" s="43"/>
      <c r="O41" s="43"/>
      <c r="P41" s="44">
        <f>SUM(C41:O41)</f>
        <v>212.24669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7600.2812</v>
      </c>
      <c r="D43" s="43">
        <v>5.74</v>
      </c>
      <c r="E43" s="43">
        <v>10</v>
      </c>
      <c r="F43" s="43">
        <v>9.19</v>
      </c>
      <c r="G43" s="43">
        <v>0</v>
      </c>
      <c r="H43" s="43">
        <v>11.3</v>
      </c>
      <c r="I43" s="43">
        <v>0</v>
      </c>
      <c r="J43" s="43">
        <v>-62.61292</v>
      </c>
      <c r="K43" s="43">
        <v>0</v>
      </c>
      <c r="L43" s="43">
        <v>3</v>
      </c>
      <c r="M43" s="43"/>
      <c r="N43" s="43"/>
      <c r="O43" s="43"/>
      <c r="P43" s="44">
        <f>SUM(C43:O43)</f>
        <v>7576.89828</v>
      </c>
    </row>
    <row r="44" spans="1:16" customHeight="1" ht="12.75">
      <c r="A44" s="18" t="s">
        <v>89</v>
      </c>
      <c r="B44" s="4" t="s">
        <v>90</v>
      </c>
      <c r="C44" s="43">
        <v>10284.33888</v>
      </c>
      <c r="D44" s="43">
        <v>565.5</v>
      </c>
      <c r="E44" s="43">
        <v>0</v>
      </c>
      <c r="F44" s="43">
        <v>0</v>
      </c>
      <c r="G44" s="43">
        <v>-615.735</v>
      </c>
      <c r="H44" s="43">
        <v>0</v>
      </c>
      <c r="I44" s="43">
        <v>258.657</v>
      </c>
      <c r="J44" s="43">
        <v>590.25479</v>
      </c>
      <c r="K44" s="43">
        <v>252.256</v>
      </c>
      <c r="L44" s="43">
        <v>265.627</v>
      </c>
      <c r="M44" s="43"/>
      <c r="N44" s="43"/>
      <c r="O44" s="43"/>
      <c r="P44" s="44">
        <f>SUM(C44:O44)</f>
        <v>11600.89867</v>
      </c>
    </row>
    <row r="45" spans="1:16" customHeight="1" ht="12.75">
      <c r="A45" s="18" t="s">
        <v>91</v>
      </c>
      <c r="B45" s="4" t="s">
        <v>92</v>
      </c>
      <c r="C45" s="43">
        <v>21810.62388</v>
      </c>
      <c r="D45" s="43">
        <v>305.17611</v>
      </c>
      <c r="E45" s="43">
        <v>828.54898</v>
      </c>
      <c r="F45" s="43">
        <v>503.56721</v>
      </c>
      <c r="G45" s="43">
        <v>249.66566</v>
      </c>
      <c r="H45" s="43">
        <v>524.96671</v>
      </c>
      <c r="I45" s="43">
        <v>607.92441</v>
      </c>
      <c r="J45" s="43">
        <v>192.8151</v>
      </c>
      <c r="K45" s="43">
        <v>293.12227</v>
      </c>
      <c r="L45" s="43">
        <v>613.42791</v>
      </c>
      <c r="M45" s="43"/>
      <c r="N45" s="43"/>
      <c r="O45" s="43"/>
      <c r="P45" s="44">
        <f>SUM(C45:O45)</f>
        <v>25929.83824</v>
      </c>
    </row>
    <row r="46" spans="1:16" customHeight="1" ht="12.75">
      <c r="A46" s="18" t="s">
        <v>93</v>
      </c>
      <c r="B46" s="4" t="s">
        <v>94</v>
      </c>
      <c r="C46" s="43">
        <v>658.2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658.2</v>
      </c>
    </row>
    <row r="47" spans="1:16" customHeight="1" ht="12.75">
      <c r="A47" s="18" t="s">
        <v>95</v>
      </c>
      <c r="B47" s="4" t="s">
        <v>96</v>
      </c>
      <c r="C47" s="43">
        <v>149.57851</v>
      </c>
      <c r="D47" s="43">
        <v>5.0776</v>
      </c>
      <c r="E47" s="43">
        <v>1.38</v>
      </c>
      <c r="F47" s="43">
        <v>0</v>
      </c>
      <c r="G47" s="43">
        <v>0</v>
      </c>
      <c r="H47" s="43">
        <v>1.2489</v>
      </c>
      <c r="I47" s="43">
        <v>2.0813</v>
      </c>
      <c r="J47" s="43">
        <v>1.226</v>
      </c>
      <c r="K47" s="43">
        <v>0</v>
      </c>
      <c r="L47" s="43">
        <v>5.04382</v>
      </c>
      <c r="M47" s="43"/>
      <c r="N47" s="43"/>
      <c r="O47" s="43"/>
      <c r="P47" s="44">
        <f>SUM(C47:O47)</f>
        <v>165.63613</v>
      </c>
    </row>
    <row r="48" spans="1:16" customHeight="1" ht="12.75">
      <c r="A48" s="18" t="s">
        <v>97</v>
      </c>
      <c r="B48" s="4" t="s">
        <v>98</v>
      </c>
      <c r="C48" s="43">
        <v>11756.64847</v>
      </c>
      <c r="D48" s="43">
        <v>106</v>
      </c>
      <c r="E48" s="43">
        <v>53</v>
      </c>
      <c r="F48" s="43">
        <v>40.20431</v>
      </c>
      <c r="G48" s="43">
        <v>53</v>
      </c>
      <c r="H48" s="43">
        <v>68.92222</v>
      </c>
      <c r="I48" s="43">
        <v>106</v>
      </c>
      <c r="J48" s="43">
        <v>23.3</v>
      </c>
      <c r="K48" s="43">
        <v>101.206</v>
      </c>
      <c r="L48" s="43">
        <v>59</v>
      </c>
      <c r="M48" s="43"/>
      <c r="N48" s="43"/>
      <c r="O48" s="43"/>
      <c r="P48" s="44">
        <f>SUM(C48:O48)</f>
        <v>12367.281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2528.76927</v>
      </c>
      <c r="D50" s="43">
        <v>4.069</v>
      </c>
      <c r="E50" s="43">
        <v>93.828</v>
      </c>
      <c r="F50" s="43">
        <v>28.734</v>
      </c>
      <c r="G50" s="43">
        <v>33.0714</v>
      </c>
      <c r="H50" s="43">
        <v>0.744</v>
      </c>
      <c r="I50" s="43">
        <v>1.788</v>
      </c>
      <c r="J50" s="43">
        <v>0.2</v>
      </c>
      <c r="K50" s="43">
        <v>32.5</v>
      </c>
      <c r="L50" s="43">
        <v>8.49</v>
      </c>
      <c r="M50" s="43"/>
      <c r="N50" s="43"/>
      <c r="O50" s="43"/>
      <c r="P50" s="44">
        <f>SUM(C50:O50)</f>
        <v>2732.19367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621.9955</v>
      </c>
      <c r="D54" s="43">
        <v>33.528</v>
      </c>
      <c r="E54" s="43">
        <v>46.3745</v>
      </c>
      <c r="F54" s="43">
        <v>5.832</v>
      </c>
      <c r="G54" s="43">
        <v>63.556</v>
      </c>
      <c r="H54" s="43">
        <v>0</v>
      </c>
      <c r="I54" s="43">
        <v>9.312</v>
      </c>
      <c r="J54" s="43">
        <v>54.351</v>
      </c>
      <c r="K54" s="43">
        <v>65.113</v>
      </c>
      <c r="L54" s="43">
        <v>0</v>
      </c>
      <c r="M54" s="43"/>
      <c r="N54" s="43"/>
      <c r="O54" s="43"/>
      <c r="P54" s="44">
        <f>SUM(C54:O54)</f>
        <v>900.062</v>
      </c>
    </row>
    <row r="55" spans="1:16" customHeight="1" ht="12.75">
      <c r="A55" s="18" t="s">
        <v>110</v>
      </c>
      <c r="B55" s="4" t="s">
        <v>111</v>
      </c>
      <c r="C55" s="43">
        <v>464.29693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464.29693</v>
      </c>
    </row>
    <row r="56" spans="1:16" customHeight="1" ht="12.75">
      <c r="A56" s="18" t="s">
        <v>112</v>
      </c>
      <c r="B56" s="4" t="s">
        <v>113</v>
      </c>
      <c r="C56" s="43">
        <v>1.18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1.18</v>
      </c>
    </row>
    <row r="57" spans="1:16" customHeight="1" ht="12.75">
      <c r="A57" s="18" t="s">
        <v>114</v>
      </c>
      <c r="B57" s="4" t="s">
        <v>115</v>
      </c>
      <c r="C57" s="43">
        <v>198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198</v>
      </c>
    </row>
    <row r="58" spans="1:16" customHeight="1" ht="12.75">
      <c r="A58" s="18" t="s">
        <v>116</v>
      </c>
      <c r="B58" s="4" t="s">
        <v>117</v>
      </c>
      <c r="C58" s="43">
        <v>271.26077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271.26077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14.693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14.693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1653.33612</v>
      </c>
      <c r="D66" s="43">
        <v>2.97</v>
      </c>
      <c r="E66" s="43">
        <v>30.6438</v>
      </c>
      <c r="F66" s="43">
        <v>7.753</v>
      </c>
      <c r="G66" s="43">
        <v>7.73415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1702.43707</v>
      </c>
    </row>
    <row r="67" spans="1:16" customHeight="1" ht="12.75">
      <c r="A67" s="18" t="s">
        <v>134</v>
      </c>
      <c r="B67" s="4" t="s">
        <v>135</v>
      </c>
      <c r="C67" s="43">
        <v>298.8185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30</v>
      </c>
      <c r="K67" s="43">
        <v>0</v>
      </c>
      <c r="L67" s="43">
        <v>0</v>
      </c>
      <c r="M67" s="43"/>
      <c r="N67" s="43"/>
      <c r="O67" s="43"/>
      <c r="P67" s="44">
        <f>SUM(C67:O67)</f>
        <v>328.8185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0.4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0.4</v>
      </c>
    </row>
    <row r="74" spans="1:16" customHeight="1" ht="12.75">
      <c r="A74" s="18" t="s">
        <v>147</v>
      </c>
      <c r="B74" s="4" t="s">
        <v>148</v>
      </c>
      <c r="C74" s="43">
        <v>8140.19344</v>
      </c>
      <c r="D74" s="43">
        <v>183.7</v>
      </c>
      <c r="E74" s="43">
        <v>106.655</v>
      </c>
      <c r="F74" s="43">
        <v>110</v>
      </c>
      <c r="G74" s="43">
        <v>55</v>
      </c>
      <c r="H74" s="43">
        <v>2.25</v>
      </c>
      <c r="I74" s="43">
        <v>246.188</v>
      </c>
      <c r="J74" s="43">
        <v>110</v>
      </c>
      <c r="K74" s="43">
        <v>77.6681</v>
      </c>
      <c r="L74" s="43">
        <v>202.522</v>
      </c>
      <c r="M74" s="43"/>
      <c r="N74" s="43"/>
      <c r="O74" s="43"/>
      <c r="P74" s="44">
        <f>SUM(C74:O74)</f>
        <v>9234.17654</v>
      </c>
    </row>
    <row r="75" spans="1:16" customHeight="1" ht="12.75">
      <c r="A75" s="18" t="s">
        <v>149</v>
      </c>
      <c r="B75" s="4" t="s">
        <v>150</v>
      </c>
      <c r="C75" s="43">
        <v>94.9444</v>
      </c>
      <c r="D75" s="43">
        <v>0</v>
      </c>
      <c r="E75" s="43">
        <v>0</v>
      </c>
      <c r="F75" s="43">
        <v>9.1379</v>
      </c>
      <c r="G75" s="43">
        <v>5.934</v>
      </c>
      <c r="H75" s="43">
        <v>0</v>
      </c>
      <c r="I75" s="43">
        <v>7.38344</v>
      </c>
      <c r="J75" s="43">
        <v>0</v>
      </c>
      <c r="K75" s="43">
        <v>0</v>
      </c>
      <c r="L75" s="43">
        <v>8.34632</v>
      </c>
      <c r="M75" s="43"/>
      <c r="N75" s="43"/>
      <c r="O75" s="43"/>
      <c r="P75" s="44">
        <f>SUM(C75:O75)</f>
        <v>125.74606</v>
      </c>
    </row>
    <row r="76" spans="1:16" customHeight="1" ht="12.75">
      <c r="A76" s="18" t="s">
        <v>151</v>
      </c>
      <c r="B76" s="4" t="s">
        <v>152</v>
      </c>
      <c r="C76" s="43">
        <v>7.8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7.8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292354.78174</v>
      </c>
      <c r="D83" s="43">
        <v>978.80032</v>
      </c>
      <c r="E83" s="43">
        <v>11909.45534</v>
      </c>
      <c r="F83" s="43">
        <v>835.04444</v>
      </c>
      <c r="G83" s="43">
        <v>1505.69778</v>
      </c>
      <c r="H83" s="43">
        <v>1248.32184</v>
      </c>
      <c r="I83" s="43">
        <v>1709.2226</v>
      </c>
      <c r="J83" s="43">
        <v>2990.19124</v>
      </c>
      <c r="K83" s="43">
        <v>3365.83771</v>
      </c>
      <c r="L83" s="43">
        <v>5717.82767</v>
      </c>
      <c r="M83" s="43"/>
      <c r="N83" s="43"/>
      <c r="O83" s="43"/>
      <c r="P83" s="44">
        <f>SUM(C83:O83)</f>
        <v>322615.18068</v>
      </c>
    </row>
    <row r="84" spans="1:16" customHeight="1" ht="12.75">
      <c r="A84" s="18" t="s">
        <v>166</v>
      </c>
      <c r="B84" s="4" t="s">
        <v>167</v>
      </c>
      <c r="C84" s="43">
        <v>741.71039</v>
      </c>
      <c r="D84" s="43">
        <v>0.88</v>
      </c>
      <c r="E84" s="43">
        <v>432.34318</v>
      </c>
      <c r="F84" s="43">
        <v>225.92019</v>
      </c>
      <c r="G84" s="43">
        <v>253.78032</v>
      </c>
      <c r="H84" s="43">
        <v>385.93176</v>
      </c>
      <c r="I84" s="43">
        <v>322.08755</v>
      </c>
      <c r="J84" s="43">
        <v>755.67506</v>
      </c>
      <c r="K84" s="43">
        <v>782.65203</v>
      </c>
      <c r="L84" s="43">
        <v>-35.80036</v>
      </c>
      <c r="M84" s="43"/>
      <c r="N84" s="43"/>
      <c r="O84" s="43"/>
      <c r="P84" s="44">
        <f>SUM(C84:O84)</f>
        <v>3865.18012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-13306.19169</v>
      </c>
      <c r="D86" s="43">
        <v>210.07165</v>
      </c>
      <c r="E86" s="43">
        <v>-729.71066</v>
      </c>
      <c r="F86" s="43">
        <v>32.38112</v>
      </c>
      <c r="G86" s="43">
        <v>0</v>
      </c>
      <c r="H86" s="43">
        <v>439.103</v>
      </c>
      <c r="I86" s="43">
        <v>286.701</v>
      </c>
      <c r="J86" s="43">
        <v>51.57729</v>
      </c>
      <c r="K86" s="43">
        <v>618.20136</v>
      </c>
      <c r="L86" s="43">
        <v>109.85193</v>
      </c>
      <c r="M86" s="43"/>
      <c r="N86" s="43"/>
      <c r="O86" s="43"/>
      <c r="P86" s="44">
        <f>SUM(C86:O86)</f>
        <v>-12288.015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-16565.46067</v>
      </c>
      <c r="D88" s="43">
        <v>-97.88003</v>
      </c>
      <c r="E88" s="43">
        <v>-118.02872</v>
      </c>
      <c r="F88" s="43">
        <v>-95.30958</v>
      </c>
      <c r="G88" s="43">
        <v>-84.08714</v>
      </c>
      <c r="H88" s="43">
        <v>-140.31822</v>
      </c>
      <c r="I88" s="43">
        <v>-26.46846</v>
      </c>
      <c r="J88" s="43">
        <v>-199.48409</v>
      </c>
      <c r="K88" s="43">
        <v>-207.87033</v>
      </c>
      <c r="L88" s="43">
        <v>-373.95451</v>
      </c>
      <c r="M88" s="43"/>
      <c r="N88" s="43"/>
      <c r="O88" s="43"/>
      <c r="P88" s="44">
        <f>SUM(C88:O88)</f>
        <v>-17908.86175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2631.67042</v>
      </c>
      <c r="D92" s="43">
        <v>167.66</v>
      </c>
      <c r="E92" s="43">
        <v>197</v>
      </c>
      <c r="F92" s="43">
        <v>153.30275</v>
      </c>
      <c r="G92" s="43">
        <v>160.75</v>
      </c>
      <c r="H92" s="43">
        <v>156.96</v>
      </c>
      <c r="I92" s="43">
        <v>156.9559</v>
      </c>
      <c r="J92" s="43">
        <v>185.96128</v>
      </c>
      <c r="K92" s="43">
        <v>149.3711</v>
      </c>
      <c r="L92" s="43">
        <v>168.7166</v>
      </c>
      <c r="M92" s="43"/>
      <c r="N92" s="43"/>
      <c r="O92" s="43"/>
      <c r="P92" s="44">
        <f>SUM(C92:O92)</f>
        <v>4128.34805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375443.85397</v>
      </c>
      <c r="D107" s="47">
        <f>SUM(D38:D106)</f>
        <v>2889.40265</v>
      </c>
      <c r="E107" s="47">
        <f>SUM(E38:E106)</f>
        <v>13460.99942</v>
      </c>
      <c r="F107" s="47">
        <f>SUM(F38:F106)</f>
        <v>2526.64084</v>
      </c>
      <c r="G107" s="47">
        <f>SUM(G38:G106)</f>
        <v>2486.58717</v>
      </c>
      <c r="H107" s="47">
        <f>SUM(H38:H106)</f>
        <v>3394.11021</v>
      </c>
      <c r="I107" s="47">
        <f>SUM(I38:I106)</f>
        <v>4557.47657</v>
      </c>
      <c r="J107" s="47">
        <f>SUM(J38:J106)</f>
        <v>5332.42212</v>
      </c>
      <c r="K107" s="47">
        <f>SUM(K38:K106)</f>
        <v>6217.94203</v>
      </c>
      <c r="L107" s="47">
        <f>SUM(L38:L106)</f>
        <v>7861.66318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424171.09816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-104846.65397</v>
      </c>
      <c r="D109" s="49">
        <f>D36-D107</f>
        <v>-2889.40265</v>
      </c>
      <c r="E109" s="49">
        <f>E36-E107</f>
        <v>-13460.99942</v>
      </c>
      <c r="F109" s="49">
        <f>F36-F107</f>
        <v>-2526.64084</v>
      </c>
      <c r="G109" s="49">
        <f>G36-G107</f>
        <v>-1213.58717</v>
      </c>
      <c r="H109" s="49">
        <f>H36-H107</f>
        <v>-1732.11021</v>
      </c>
      <c r="I109" s="49">
        <f>I36-I107</f>
        <v>-3053.47657</v>
      </c>
      <c r="J109" s="49">
        <f>J36-J107</f>
        <v>-4115.42212</v>
      </c>
      <c r="K109" s="49">
        <f>K36-K107</f>
        <v>-4830.94203</v>
      </c>
      <c r="L109" s="49">
        <f>L36-L107</f>
        <v>-7727.66318</v>
      </c>
      <c r="M109" s="49"/>
      <c r="N109" s="49"/>
      <c r="O109" s="49"/>
      <c r="P109" s="50">
        <f>P36-P107</f>
        <v>-146396.89816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-658.2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-658.2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8770.45215322</v>
      </c>
      <c r="D118" s="45">
        <f>(D109-SUM(D111:D116)-D125-D126+D127)*-0.05/12</f>
        <v>527.80081988842</v>
      </c>
      <c r="E118" s="45">
        <f>(E109-SUM(E111:E116)-E125-E126+E127)*-0.05/12</f>
        <v>586.08748755462</v>
      </c>
      <c r="F118" s="45">
        <f>(F109-SUM(F111:F116)-F125-F126+F127)*-0.05/12</f>
        <v>599.05718891943</v>
      </c>
      <c r="G118" s="45">
        <f>(G109-SUM(G111:G116)-G125-G126+G127)*-0.05/12</f>
        <v>606.98116541493</v>
      </c>
      <c r="H118" s="45">
        <f>(H109-SUM(H111:H116)-H125-H126+H127)*-0.05/12</f>
        <v>617.21212947916</v>
      </c>
      <c r="I118" s="45">
        <f>(I109-SUM(I111:I116)-I125-I126+I127)*-0.05/12</f>
        <v>632.94533239365</v>
      </c>
      <c r="J118" s="45">
        <f>(J109-SUM(J111:J116)-J125-J126+J127)*-0.05/12</f>
        <v>653.08515511196</v>
      </c>
      <c r="K118" s="45">
        <f>(K109-SUM(K111:K116)-K125-K126+K127)*-0.05/12</f>
        <v>676.33981004993</v>
      </c>
      <c r="L118" s="45">
        <f>(L109-SUM(L111:L116)-L125-L126+L127)*-0.05/12</f>
        <v>711.39557250847</v>
      </c>
      <c r="M118" s="45"/>
      <c r="N118" s="45"/>
      <c r="O118" s="45"/>
      <c r="P118" s="46">
        <f>SUM(C118:O118)</f>
        <v>14381.356814541</v>
      </c>
    </row>
    <row r="119" spans="1:16" customHeight="1" ht="12.75">
      <c r="A119" s="20">
        <v>4.3</v>
      </c>
      <c r="B119" s="15" t="s">
        <v>210</v>
      </c>
      <c r="C119" s="47">
        <f>SUM(C111:C118)</f>
        <v>8112.25215322</v>
      </c>
      <c r="D119" s="47">
        <f>SUM(D111:D118)</f>
        <v>527.80081988842</v>
      </c>
      <c r="E119" s="47">
        <f>SUM(E111:E118)</f>
        <v>586.08748755462</v>
      </c>
      <c r="F119" s="47">
        <f>SUM(F111:F118)</f>
        <v>599.05718891943</v>
      </c>
      <c r="G119" s="47">
        <f>SUM(G111:G118)</f>
        <v>606.98116541493</v>
      </c>
      <c r="H119" s="47">
        <f>SUM(H111:H118)</f>
        <v>617.21212947916</v>
      </c>
      <c r="I119" s="47">
        <f>SUM(I111:I118)</f>
        <v>632.94533239365</v>
      </c>
      <c r="J119" s="47">
        <f>SUM(J111:J118)</f>
        <v>653.08515511196</v>
      </c>
      <c r="K119" s="47">
        <f>SUM(K111:K118)</f>
        <v>676.33981004993</v>
      </c>
      <c r="L119" s="47">
        <f>SUM(L111:L118)</f>
        <v>711.39557250847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13723.156814541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-112958.90612322</v>
      </c>
      <c r="D121" s="49">
        <f>D109-D119</f>
        <v>-3417.2034698884</v>
      </c>
      <c r="E121" s="49">
        <f>E109-E119</f>
        <v>-14047.086907555</v>
      </c>
      <c r="F121" s="49">
        <f>F109-F119</f>
        <v>-3125.6980289194</v>
      </c>
      <c r="G121" s="49">
        <f>G109-G119</f>
        <v>-1820.5683354149</v>
      </c>
      <c r="H121" s="49">
        <f>H109-H119</f>
        <v>-2349.3223394792</v>
      </c>
      <c r="I121" s="49">
        <f>I109-I119</f>
        <v>-3686.4219023937</v>
      </c>
      <c r="J121" s="49">
        <f>J109-J119</f>
        <v>-4768.507275112</v>
      </c>
      <c r="K121" s="49">
        <f>K109-K119</f>
        <v>-5507.2818400499</v>
      </c>
      <c r="L121" s="49">
        <f>L109-L119</f>
        <v>-8439.0587525085</v>
      </c>
      <c r="M121" s="49"/>
      <c r="N121" s="49"/>
      <c r="O121" s="49"/>
      <c r="P121" s="50">
        <f>P109-P119</f>
        <v>-160120.05497454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8117.916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76.38</v>
      </c>
      <c r="H125" s="43">
        <f>(H36-H18-H20-H33)*H124</f>
        <v>99.72</v>
      </c>
      <c r="I125" s="43">
        <f>(I36-I18-I20-I33)*I124</f>
        <v>90.24</v>
      </c>
      <c r="J125" s="43">
        <f>(J36-J18-J20-J33)*J124</f>
        <v>73.02</v>
      </c>
      <c r="K125" s="43">
        <f>(K36-K18-K20-K33)*K124</f>
        <v>83.22</v>
      </c>
      <c r="L125" s="43">
        <f>(L36-L18-L20-L33)*L124</f>
        <v>8.04</v>
      </c>
      <c r="M125" s="43"/>
      <c r="N125" s="43"/>
      <c r="O125" s="43"/>
      <c r="P125" s="44">
        <f>SUM(C125:O125)</f>
        <v>8548.536</v>
      </c>
    </row>
    <row r="126" spans="1:16" customHeight="1" ht="12.75">
      <c r="A126" s="18" t="s">
        <v>216</v>
      </c>
      <c r="B126" s="4" t="s">
        <v>217</v>
      </c>
      <c r="C126" s="43">
        <f>(C36-C18-C20-C33)*0.010000</f>
        <v>2705.972</v>
      </c>
      <c r="D126" s="43">
        <f>(D36-D18-D20-D33)*0.010000</f>
        <v>0</v>
      </c>
      <c r="E126" s="43">
        <f>(E36-E18-E20-E33)*0.010000</f>
        <v>0</v>
      </c>
      <c r="F126" s="43">
        <f>(F36-F18-F20-F33)*0.010000</f>
        <v>0</v>
      </c>
      <c r="G126" s="43">
        <f>(G36-G18-G20-G33)*0.010000</f>
        <v>12.73</v>
      </c>
      <c r="H126" s="43">
        <f>(H36-H18-H20-H33)*0.010000</f>
        <v>16.62</v>
      </c>
      <c r="I126" s="43">
        <f>(I36-I18-I20-I33)*0.010000</f>
        <v>15.04</v>
      </c>
      <c r="J126" s="43">
        <f>(J36-J18-J20-J33)*0.010000</f>
        <v>12.17</v>
      </c>
      <c r="K126" s="43">
        <f>(K36-K18-K20-K33)*0.010000</f>
        <v>13.87</v>
      </c>
      <c r="L126" s="43">
        <f>(L36-L18-L20-L33)*0.010000</f>
        <v>1.34</v>
      </c>
      <c r="M126" s="43"/>
      <c r="N126" s="43"/>
      <c r="O126" s="43"/>
      <c r="P126" s="44">
        <f>(P36-P18-P20-P33)*0.010000</f>
        <v>2777.742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-123782.79412322</v>
      </c>
      <c r="E127" s="43">
        <f>D129</f>
        <v>-127199.99759311</v>
      </c>
      <c r="F127" s="43">
        <f>E129</f>
        <v>-141247.08450066</v>
      </c>
      <c r="G127" s="43">
        <f>F129</f>
        <v>-144372.78252958</v>
      </c>
      <c r="H127" s="43">
        <f>G129</f>
        <v>-146282.460865</v>
      </c>
      <c r="I127" s="43">
        <f>H129</f>
        <v>-148748.12320448</v>
      </c>
      <c r="J127" s="43">
        <f>I129</f>
        <v>-152539.82510687</v>
      </c>
      <c r="K127" s="43">
        <f>J129</f>
        <v>-157393.52238198</v>
      </c>
      <c r="L127" s="43">
        <f>K129</f>
        <v>-162997.89422203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-123782.79412322</v>
      </c>
      <c r="D129" s="51">
        <f>D121-SUM(D125:D126)+IF(ISBLANK(D127), 0, D127)</f>
        <v>-127199.99759311</v>
      </c>
      <c r="E129" s="51">
        <f>E121-SUM(E125:E126)+IF(ISBLANK(E127), 0, E127)</f>
        <v>-141247.08450066</v>
      </c>
      <c r="F129" s="51">
        <f>F121-SUM(F125:F126)+IF(ISBLANK(F127), 0, F127)</f>
        <v>-144372.78252958</v>
      </c>
      <c r="G129" s="51">
        <f>G121-SUM(G125:G126)+IF(ISBLANK(G127), 0, G127)</f>
        <v>-146282.460865</v>
      </c>
      <c r="H129" s="51">
        <f>H121-SUM(H125:H126)+IF(ISBLANK(H127), 0, H127)</f>
        <v>-148748.12320448</v>
      </c>
      <c r="I129" s="51">
        <f>I121-SUM(I125:I126)+IF(ISBLANK(I127), 0, I127)</f>
        <v>-152539.82510687</v>
      </c>
      <c r="J129" s="51">
        <f>J121-SUM(J125:J126)+IF(ISBLANK(J127), 0, J127)</f>
        <v>-157393.52238198</v>
      </c>
      <c r="K129" s="51">
        <f>K121-SUM(K125:K126)+IF(ISBLANK(K127), 0, K127)</f>
        <v>-162997.89422203</v>
      </c>
      <c r="L129" s="51">
        <f>L121-SUM(L125:L126)+IF(ISBLANK(L127), 0, L127)</f>
        <v>-171446.33297454</v>
      </c>
      <c r="M129" s="51"/>
      <c r="N129" s="51"/>
      <c r="O129" s="51"/>
      <c r="P129" s="52">
        <f>P121-SUM(P125:P126)+IF(ISBLANK(P127), 0, P127)</f>
        <v>-171446.33297454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