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inancial Status" sheetId="1" r:id="rId4"/>
    <sheet name="Projection" sheetId="2" r:id="rId5"/>
    <sheet name="Committed Cost" sheetId="3" r:id="rId6"/>
    <sheet name="Accrual" sheetId="4" r:id="rId7"/>
    <sheet name="Cash Flow" sheetId="5" r:id="rId8"/>
  </sheets>
  <definedNames>
    <definedName name="_xlnm.Print_Titles" localSheetId="0">'Financial Status'!$1:$15</definedName>
    <definedName name="_xlnm.Print_Titles" localSheetId="1">'Projection'!$1:$12</definedName>
    <definedName name="_xlnm.Print_Titles" localSheetId="2">'Committed Cost'!$1:$12</definedName>
    <definedName name="_xlnm.Print_Titles" localSheetId="3">'Accrual'!$1:$12</definedName>
    <definedName name="_xlnm.Print_Titles" localSheetId="4">'Cash Flow'!$1:$12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<sst xmlns="http://schemas.openxmlformats.org/spreadsheetml/2006/main" uniqueCount="237">
  <si>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CW-KL JV</t>
  </si>
  <si>
    <t>Print Date: 2026-01-16</t>
  </si>
  <si>
    <t>Project Code:</t>
  </si>
  <si>
    <t>Project Name:</t>
  </si>
  <si>
    <t>ND/2019/02 Kwu Tung North New Development Area, Phase 1, Roads and Drains between Kwu Tung North New Development Area and Shek Wu Hui</t>
  </si>
  <si>
    <t>Report Date:</t>
  </si>
  <si>
    <t>2025-12-31</t>
  </si>
  <si>
    <t>Start Date:</t>
  </si>
  <si>
    <t>2020-02-17</t>
  </si>
  <si>
    <t>Monthly Financial Report</t>
  </si>
  <si>
    <t>Complete Date:</t>
  </si>
  <si>
    <t>2024-12-25                                Time Consumed (%):</t>
  </si>
  <si>
    <t>Confidential</t>
  </si>
  <si>
    <t>Target Complete Date:</t>
  </si>
  <si>
    <t>2026-05-31                                Target Completed (%):</t>
  </si>
  <si>
    <t>(HK$'000)</t>
  </si>
  <si>
    <t>Financial Status</t>
  </si>
  <si>
    <t>Item</t>
  </si>
  <si>
    <t>Trade</t>
  </si>
  <si>
    <t>Budget</t>
  </si>
  <si>
    <t>Business Plan</t>
  </si>
  <si>
    <t xml:space="preserve">Audit Report (WIP) </t>
  </si>
  <si>
    <t>Adjustment Cost / Variation</t>
  </si>
  <si>
    <t>Projection</t>
  </si>
  <si>
    <t>Committed Value / Cost</t>
  </si>
  <si>
    <t>Accrual 
(Before Retention)</t>
  </si>
  <si>
    <t>Cash Flow</t>
  </si>
  <si>
    <t>Tender</t>
  </si>
  <si>
    <t>1st Working Budget</t>
  </si>
  <si>
    <t xml:space="preserve"> Adjustment Cost/ variation </t>
  </si>
  <si>
    <t>Revision as at</t>
  </si>
  <si>
    <t>Actual received &amp; paid</t>
  </si>
  <si>
    <t xml:space="preserve">Balance to </t>
  </si>
  <si>
    <t>as at</t>
  </si>
  <si>
    <t>% of time elapse</t>
  </si>
  <si>
    <t>Balance</t>
  </si>
  <si>
    <t>A</t>
  </si>
  <si>
    <t>B</t>
  </si>
  <si>
    <t>C</t>
  </si>
  <si>
    <t>D=B+C</t>
  </si>
  <si>
    <t>J</t>
  </si>
  <si>
    <t>k=I-J</t>
  </si>
  <si>
    <t>I</t>
  </si>
  <si>
    <t>E</t>
  </si>
  <si>
    <t>E1=E/D</t>
  </si>
  <si>
    <t>F=D-E</t>
  </si>
  <si>
    <t>G</t>
  </si>
  <si>
    <t>G1=G/E</t>
  </si>
  <si>
    <t>H=E-G</t>
  </si>
  <si>
    <t>Income</t>
  </si>
  <si>
    <t>Original Contract Works</t>
  </si>
  <si>
    <t>V.O. / Compensation Events</t>
  </si>
  <si>
    <t>1.2.1</t>
  </si>
  <si>
    <t xml:space="preserve">  -V.O. / C.E.</t>
  </si>
  <si>
    <t>1.2.2</t>
  </si>
  <si>
    <t xml:space="preserve">  -Fee of C.E.</t>
  </si>
  <si>
    <t>Provisional Sum</t>
  </si>
  <si>
    <t>Adjustment for Provisional Quantities (remeasurement) and PC Rates</t>
  </si>
  <si>
    <t>NSC</t>
  </si>
  <si>
    <t>Profit &amp; Attendance</t>
  </si>
  <si>
    <t>Claims</t>
  </si>
  <si>
    <t>Price Fluctuation / CPF</t>
  </si>
  <si>
    <t>MPF Reimbursement</t>
  </si>
  <si>
    <t xml:space="preserve">1.10 </t>
  </si>
  <si>
    <t>SA</t>
  </si>
  <si>
    <t>CSD</t>
  </si>
  <si>
    <t>Other Revenue / Pain Gain Sharing</t>
  </si>
  <si>
    <t>1.12.1</t>
  </si>
  <si>
    <t xml:space="preserve">  -Other Revenue</t>
  </si>
  <si>
    <t>1.12.2</t>
  </si>
  <si>
    <t xml:space="preserve">  -Pain Gain Sharing</t>
  </si>
  <si>
    <t>1.12.3</t>
  </si>
  <si>
    <t xml:space="preserve">  -Stretch Target Income</t>
  </si>
  <si>
    <t>Less :LD</t>
  </si>
  <si>
    <t>Less :Retention Money</t>
  </si>
  <si>
    <t>Less :Retention Money (NSC)</t>
  </si>
  <si>
    <t>Partialing Income Total</t>
  </si>
  <si>
    <t>Advance Payment</t>
  </si>
  <si>
    <t>Total Income</t>
  </si>
  <si>
    <t>Less : Cost</t>
  </si>
  <si>
    <t>Preliminaries</t>
  </si>
  <si>
    <t>2.1.1</t>
  </si>
  <si>
    <t xml:space="preserve">  -Manpower (Mgt. &amp; Supervision)</t>
  </si>
  <si>
    <t>2.1.13</t>
  </si>
  <si>
    <t xml:space="preserve">  -Manpower (HO-Consultant)</t>
  </si>
  <si>
    <t>2.1.2</t>
  </si>
  <si>
    <t xml:space="preserve">  -Manpower (RE)</t>
  </si>
  <si>
    <t>2.1.3</t>
  </si>
  <si>
    <t xml:space="preserve">  -Manpower (Labour)</t>
  </si>
  <si>
    <t>2.1.4</t>
  </si>
  <si>
    <t xml:space="preserve">  -Adm. Cost one off item (Insurance, Bond &amp; Levies)</t>
  </si>
  <si>
    <t>2.1.5</t>
  </si>
  <si>
    <t xml:space="preserve">  -Adm. Cost Others (General site overhead, includes RE)</t>
  </si>
  <si>
    <t>2.1.6</t>
  </si>
  <si>
    <t xml:space="preserve">  -Adm. Cost Financial Cost (TR interest &amp; Bank charge)</t>
  </si>
  <si>
    <t>2.1.7</t>
  </si>
  <si>
    <t xml:space="preserve">  -Adm. Cost Messing</t>
  </si>
  <si>
    <t>2.1.8</t>
  </si>
  <si>
    <t xml:space="preserve">  -DSC</t>
  </si>
  <si>
    <t>2.1.9</t>
  </si>
  <si>
    <t xml:space="preserve">  -General Material</t>
  </si>
  <si>
    <t>2.1.10</t>
  </si>
  <si>
    <t xml:space="preserve">  -Plant</t>
  </si>
  <si>
    <t>2.1.11</t>
  </si>
  <si>
    <t xml:space="preserve">  -JV Partner Management Fee</t>
  </si>
  <si>
    <t>2.1.12</t>
  </si>
  <si>
    <t xml:space="preserve">  -Potential Savings (Preliminaries)</t>
  </si>
  <si>
    <t>Materials</t>
  </si>
  <si>
    <t>2.2.1</t>
  </si>
  <si>
    <t xml:space="preserve">  -Concrete</t>
  </si>
  <si>
    <t>2.2.2</t>
  </si>
  <si>
    <t xml:space="preserve">  -Reinforcement</t>
  </si>
  <si>
    <t>2.2.3</t>
  </si>
  <si>
    <t xml:space="preserve">  -Tile, Granite &amp; Marble</t>
  </si>
  <si>
    <t>2.2.4</t>
  </si>
  <si>
    <t xml:space="preserve">  -Temporary Work (Structural Steel and Sheet Piles)</t>
  </si>
  <si>
    <t>2.2.5</t>
  </si>
  <si>
    <t xml:space="preserve">  -Structural Steel Member</t>
  </si>
  <si>
    <t>2.2.6</t>
  </si>
  <si>
    <t xml:space="preserve">  -Furniture</t>
  </si>
  <si>
    <t>2.2.7</t>
  </si>
  <si>
    <t xml:space="preserve">  -Sanitary Fitting</t>
  </si>
  <si>
    <t>2.2.8</t>
  </si>
  <si>
    <t xml:space="preserve">  -Ironmongery</t>
  </si>
  <si>
    <t>2.2.9</t>
  </si>
  <si>
    <t xml:space="preserve">  -MVAC</t>
  </si>
  <si>
    <t>2.2.10</t>
  </si>
  <si>
    <t xml:space="preserve">  -Electrical</t>
  </si>
  <si>
    <t>2.2.11</t>
  </si>
  <si>
    <t xml:space="preserve">  -P&amp;D</t>
  </si>
  <si>
    <t>2.2.12</t>
  </si>
  <si>
    <t xml:space="preserve">  -FS</t>
  </si>
  <si>
    <t>2.2.13</t>
  </si>
  <si>
    <t xml:space="preserve">  -Others Material Cost</t>
  </si>
  <si>
    <t>2.2.14</t>
  </si>
  <si>
    <t xml:space="preserve">  -Deposit</t>
  </si>
  <si>
    <t>2.2.15</t>
  </si>
  <si>
    <t xml:space="preserve">  -Potential Savings (Materials)</t>
  </si>
  <si>
    <t>2.2.16</t>
  </si>
  <si>
    <t xml:space="preserve">  -Concrete (for Tunnel)</t>
  </si>
  <si>
    <t>2.2.17</t>
  </si>
  <si>
    <t xml:space="preserve">  -Reinforcement (for Tunnel)</t>
  </si>
  <si>
    <t>2.2.18</t>
  </si>
  <si>
    <t xml:space="preserve">  -P&amp;D Material (for Tunnel)</t>
  </si>
  <si>
    <t>Plant &amp; Machinery</t>
  </si>
  <si>
    <t>2.3.1</t>
  </si>
  <si>
    <t xml:space="preserve">  -Plant, Equipments &amp; Tools (purchased)</t>
  </si>
  <si>
    <t>2.3.2</t>
  </si>
  <si>
    <t xml:space="preserve">  -Plant, Equipments &amp; Tools (external hire)</t>
  </si>
  <si>
    <t>2.3.3</t>
  </si>
  <si>
    <t xml:space="preserve">  -Diesel &amp; Lubricant</t>
  </si>
  <si>
    <t>2.3.4</t>
  </si>
  <si>
    <t xml:space="preserve">  -Repairing</t>
  </si>
  <si>
    <t>2.3.5</t>
  </si>
  <si>
    <t xml:space="preserve">  -Resale</t>
  </si>
  <si>
    <t>2.3.6</t>
  </si>
  <si>
    <t xml:space="preserve">  -Others Plant &amp; Machinery</t>
  </si>
  <si>
    <t>2.3.7</t>
  </si>
  <si>
    <t xml:space="preserve">  -Depreciation (in Ledger)</t>
  </si>
  <si>
    <t>2.3.8</t>
  </si>
  <si>
    <t xml:space="preserve">  -Potential Savings (Plants)</t>
  </si>
  <si>
    <t>2.3.9</t>
  </si>
  <si>
    <t xml:space="preserve">  - Plant, Equipments &amp; Tools (internal hire)</t>
  </si>
  <si>
    <t>Subcontractor</t>
  </si>
  <si>
    <t>2.4.1</t>
  </si>
  <si>
    <t xml:space="preserve">  -Contract Works</t>
  </si>
  <si>
    <t>2.4.2</t>
  </si>
  <si>
    <t xml:space="preserve">  -Variation</t>
  </si>
  <si>
    <t>2.4.3</t>
  </si>
  <si>
    <t xml:space="preserve">  -Claim</t>
  </si>
  <si>
    <t>2.4.4</t>
  </si>
  <si>
    <t xml:space="preserve">  -Contra Charge</t>
  </si>
  <si>
    <t>2.4.5</t>
  </si>
  <si>
    <t xml:space="preserve">  -Down Payment</t>
  </si>
  <si>
    <t>2.4.6</t>
  </si>
  <si>
    <t xml:space="preserve">  -Retention</t>
  </si>
  <si>
    <t>2.4.7</t>
  </si>
  <si>
    <t xml:space="preserve">  -Potential Savings (DSC)</t>
  </si>
  <si>
    <t>2.4.8</t>
  </si>
  <si>
    <t xml:space="preserve">  -Commercial Settlement</t>
  </si>
  <si>
    <t>2.4.9</t>
  </si>
  <si>
    <t xml:space="preserve">  -Contract Works (for Tunnel)</t>
  </si>
  <si>
    <t>Manpower (Labour) for Works</t>
  </si>
  <si>
    <t>Nominated Package</t>
  </si>
  <si>
    <t>2.6.1</t>
  </si>
  <si>
    <t xml:space="preserve">  -Nominated Subcontractor</t>
  </si>
  <si>
    <t>2.6.2</t>
  </si>
  <si>
    <t xml:space="preserve">  -Nominated Supplier</t>
  </si>
  <si>
    <t>Allow for Contingencies</t>
  </si>
  <si>
    <t>Allow for Defects Rectification Works</t>
  </si>
  <si>
    <t>Tender Fee</t>
  </si>
  <si>
    <t xml:space="preserve">2.10 </t>
  </si>
  <si>
    <t>Partialing Cost Total</t>
  </si>
  <si>
    <t>Incentive / POR Bonus</t>
  </si>
  <si>
    <t>2.11.1</t>
  </si>
  <si>
    <t xml:space="preserve">  -Cost saving related bonus</t>
  </si>
  <si>
    <t>2.11.2</t>
  </si>
  <si>
    <t xml:space="preserve">  -Non-cost saving related bonus</t>
  </si>
  <si>
    <t>2.11.3</t>
  </si>
  <si>
    <t xml:space="preserve">  -Cost saving achieved</t>
  </si>
  <si>
    <t>CPR Penalty</t>
  </si>
  <si>
    <t>HO - Transformation Performance Fee</t>
  </si>
  <si>
    <t>Stretch Target (Cost)</t>
  </si>
  <si>
    <t>Total Cost</t>
  </si>
  <si>
    <t>Gross Profit (Item 1.0-2.0) (Financial A/C)</t>
  </si>
  <si>
    <t>Reconciliation</t>
  </si>
  <si>
    <t>Less: Cost</t>
  </si>
  <si>
    <t xml:space="preserve">  -Adm Reconciliation (TR interest &amp; Bank charge)</t>
  </si>
  <si>
    <t>Depreciation (in Ledger)</t>
  </si>
  <si>
    <t>Less/(Add) : Internal Interest (5% for +) &amp; (5% for -)</t>
  </si>
  <si>
    <t>Total Adjustment</t>
  </si>
  <si>
    <t>Gross Profit (Item 3.0-4.3)</t>
  </si>
  <si>
    <t>Overhead</t>
  </si>
  <si>
    <t>HO Overhead Rate %</t>
  </si>
  <si>
    <t>6.1.1</t>
  </si>
  <si>
    <t>HO Overhead (6.0000% of Total Income excl. PC &amp; Provisional Sum)</t>
  </si>
  <si>
    <t>6.1.2</t>
  </si>
  <si>
    <t>BU Overhead (0.6000% of Total Income excl. PC &amp; Provisional Sum)</t>
  </si>
  <si>
    <t>Acc. Profit/(Loss) ~ B/F</t>
  </si>
  <si>
    <t>Acc. Net Profit/(Loss)</t>
  </si>
  <si>
    <t>(=Item5.0 - 6.0 + 6.2)</t>
  </si>
  <si>
    <t>Bal B/F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</si>
  <si>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</si>
  <si>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</si>
  <si>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</si>
  <si>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</si>
  <si>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</si>
  <si>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</si>
  <si>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</si>
  <si>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</si>
  <si>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</si>
  <si>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</si>
  <si>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</si>
  <si>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</si>
  <si>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Total</t>
  </si>
  <si>
    <t>Committed Cost</t>
  </si>
  <si>
    <t>Accrual</t>
  </si>
</sst>
</file>

<file path=xl/styles.xml><?xml version="1.0" encoding="utf-8"?>
<styleSheet xmlns="http://schemas.openxmlformats.org/spreadsheetml/2006/main" xml:space="preserve">
  <numFmts count="1">
    <numFmt numFmtId="164" formatCode="#,##0;[Red]\(#,##0\)"/>
  </numFmts>
  <fonts count="6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Times New Roman"/>
    </font>
    <font>
      <b val="1"/>
      <i val="0"/>
      <strike val="0"/>
      <u val="none"/>
      <sz val="10"/>
      <color rgb="FF000000"/>
      <name val="Times New Roman"/>
    </font>
    <font>
      <b val="1"/>
      <i val="0"/>
      <strike val="0"/>
      <u val="none"/>
      <sz val="14"/>
      <color rgb="FF000000"/>
      <name val="Times New Roman"/>
    </font>
    <font>
      <b val="1"/>
      <i val="0"/>
      <strike val="0"/>
      <u val="none"/>
      <sz val="20"/>
      <color rgb="FF000000"/>
      <name val="Times New Roman"/>
    </font>
    <font>
      <b val="1"/>
      <i val="0"/>
      <strike val="0"/>
      <u val="none"/>
      <sz val="24"/>
      <color rgb="FF000000"/>
      <name val="Times New Roman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BFBFBF"/>
        <bgColor rgb="FFFFFFFF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</borders>
  <cellStyleXfs count="1">
    <xf numFmtId="0" fontId="0" fillId="0" borderId="0"/>
  </cellStyleXfs>
  <cellXfs count="7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2" applyFont="1" applyNumberFormat="0" applyFill="0" applyBorder="1" applyAlignment="1">
      <alignment horizontal="general" vertical="center" textRotation="0" wrapText="false" shrinkToFit="false"/>
    </xf>
    <xf xfId="0" fontId="1" numFmtId="0" fillId="0" borderId="3" applyFont="1" applyNumberFormat="0" applyFill="0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general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2" numFmtId="0" fillId="2" borderId="5" applyFont="1" applyNumberFormat="0" applyFill="1" applyBorder="1" applyAlignment="1">
      <alignment horizontal="general" vertical="center" textRotation="0" wrapText="false" shrinkToFit="false"/>
    </xf>
    <xf xfId="0" fontId="1" numFmtId="0" fillId="2" borderId="6" applyFont="1" applyNumberFormat="0" applyFill="1" applyBorder="1" applyAlignment="1">
      <alignment horizontal="general" vertical="center" textRotation="0" wrapText="false" shrinkToFit="false"/>
    </xf>
    <xf xfId="0" fontId="1" numFmtId="0" fillId="2" borderId="7" applyFont="1" applyNumberFormat="0" applyFill="1" applyBorder="1" applyAlignment="1">
      <alignment horizontal="general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9" applyFont="1" applyNumberFormat="0" applyFill="1" applyBorder="1" applyAlignment="1">
      <alignment horizontal="general" vertical="center" textRotation="0" wrapText="false" shrinkToFit="false"/>
    </xf>
    <xf xfId="0" fontId="2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0" borderId="4" applyFont="1" applyNumberFormat="0" applyFill="0" applyBorder="1" applyAlignment="1">
      <alignment horizontal="right" vertical="center" textRotation="0" wrapText="false" shrinkToFit="false" indent="4"/>
    </xf>
    <xf xfId="0" fontId="2" numFmtId="0" fillId="2" borderId="10" applyFont="1" applyNumberFormat="0" applyFill="1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2" applyFont="1" applyNumberFormat="0" applyFill="0" applyBorder="1" applyAlignment="1">
      <alignment horizontal="left" vertical="center" textRotation="0" wrapText="false" shrinkToFit="false" indent="6"/>
    </xf>
    <xf xfId="0" fontId="1" numFmtId="0" fillId="0" borderId="13" applyFont="1" applyNumberFormat="0" applyFill="0" applyBorder="1" applyAlignment="1">
      <alignment horizontal="left" vertical="center" textRotation="0" wrapText="false" shrinkToFit="false" indent="6"/>
    </xf>
    <xf xfId="0" fontId="2" numFmtId="0" fillId="0" borderId="10" applyFont="1" applyNumberFormat="0" applyFill="0" applyBorder="1" applyAlignment="1">
      <alignment horizontal="left" vertical="center" textRotation="0" wrapText="false" shrinkToFit="false" indent="6"/>
    </xf>
    <xf xfId="0" fontId="2" numFmtId="0" fillId="2" borderId="10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1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14" applyFont="1" applyNumberFormat="0" applyFill="1" applyBorder="1" applyAlignment="1">
      <alignment horizontal="left" vertical="center" textRotation="0" wrapText="false" shrinkToFit="false" indent="6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true" shrinkToFit="false"/>
    </xf>
    <xf xfId="0" fontId="2" numFmtId="0" fillId="0" borderId="15" applyFont="1" applyNumberFormat="0" applyFill="0" applyBorder="1" applyAlignment="1">
      <alignment horizontal="center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9" fillId="0" borderId="15" applyFont="1" applyNumberFormat="1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9" fillId="0" borderId="15" applyFont="1" applyNumberFormat="1" applyFill="0" applyBorder="1" applyAlignment="1">
      <alignment horizontal="center" vertical="center" textRotation="0" wrapText="false" shrinkToFit="false"/>
    </xf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1" numFmtId="9" fillId="0" borderId="0" applyFont="1" applyNumberFormat="1" applyFill="0" applyBorder="0" applyAlignment="1">
      <alignment horizontal="general" vertical="center" textRotation="0" wrapText="false" shrinkToFit="false"/>
    </xf>
    <xf xfId="0" fontId="1" numFmtId="9" fillId="2" borderId="6" applyFont="1" applyNumberFormat="1" applyFill="1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center" vertical="center" textRotation="0" wrapText="true" shrinkToFit="false"/>
    </xf>
    <xf xfId="0" fontId="1" numFmtId="9" fillId="0" borderId="2" applyFont="1" applyNumberFormat="1" applyFill="0" applyBorder="1" applyAlignment="1">
      <alignment horizontal="general" vertical="center" textRotation="0" wrapText="false" shrinkToFit="false"/>
    </xf>
    <xf xfId="0" fontId="1" numFmtId="9" fillId="0" borderId="3" applyFont="1" applyNumberFormat="1" applyFill="0" applyBorder="1" applyAlignment="1">
      <alignment horizontal="general" vertical="center" textRotation="0" wrapText="false" shrinkToFit="false"/>
    </xf>
    <xf xfId="0" fontId="2" numFmtId="9" fillId="0" borderId="4" applyFont="1" applyNumberFormat="1" applyFill="0" applyBorder="1" applyAlignment="1">
      <alignment horizontal="general" vertical="center" textRotation="0" wrapText="false" shrinkToFit="false"/>
    </xf>
    <xf xfId="0" fontId="2" numFmtId="9" fillId="2" borderId="4" applyFont="1" applyNumberFormat="1" applyFill="1" applyBorder="1" applyAlignment="1">
      <alignment horizontal="general" vertical="center" textRotation="0" wrapText="false" shrinkToFit="false"/>
    </xf>
    <xf xfId="0" fontId="2" numFmtId="9" fillId="2" borderId="1" applyFont="1" applyNumberFormat="1" applyFill="1" applyBorder="1" applyAlignment="1">
      <alignment horizontal="general" vertical="center" textRotation="0" wrapText="false" shrinkToFit="false"/>
    </xf>
    <xf xfId="0" fontId="2" numFmtId="9" fillId="2" borderId="9" applyFont="1" applyNumberFormat="1" applyFill="1" applyBorder="1" applyAlignment="1">
      <alignment horizontal="general" vertical="center" textRotation="0" wrapText="false" shrinkToFit="false"/>
    </xf>
    <xf xfId="0" fontId="1" numFmtId="164" fillId="0" borderId="2" applyFont="1" applyNumberFormat="1" applyFill="0" applyBorder="1" applyAlignment="1">
      <alignment horizontal="general" vertical="center" textRotation="0" wrapText="false" shrinkToFit="false"/>
    </xf>
    <xf xfId="0" fontId="1" numFmtId="164" fillId="0" borderId="17" applyFont="1" applyNumberFormat="1" applyFill="0" applyBorder="1" applyAlignment="1">
      <alignment horizontal="general" vertical="center" textRotation="0" wrapText="false" shrinkToFit="false"/>
    </xf>
    <xf xfId="0" fontId="1" numFmtId="164" fillId="0" borderId="3" applyFont="1" applyNumberFormat="1" applyFill="0" applyBorder="1" applyAlignment="1">
      <alignment horizontal="general" vertical="center" textRotation="0" wrapText="false" shrinkToFit="false"/>
    </xf>
    <xf xfId="0" fontId="1" numFmtId="164" fillId="0" borderId="18" applyFont="1" applyNumberFormat="1" applyFill="0" applyBorder="1" applyAlignment="1">
      <alignment horizontal="general" vertical="center" textRotation="0" wrapText="false" shrinkToFit="false"/>
    </xf>
    <xf xfId="0" fontId="2" numFmtId="164" fillId="0" borderId="4" applyFont="1" applyNumberFormat="1" applyFill="0" applyBorder="1" applyAlignment="1">
      <alignment horizontal="general" vertical="center" textRotation="0" wrapText="false" shrinkToFit="false"/>
    </xf>
    <xf xfId="0" fontId="2" numFmtId="164" fillId="0" borderId="8" applyFont="1" applyNumberFormat="1" applyFill="0" applyBorder="1" applyAlignment="1">
      <alignment horizontal="general" vertical="center" textRotation="0" wrapText="false" shrinkToFit="false"/>
    </xf>
    <xf xfId="0" fontId="2" numFmtId="164" fillId="2" borderId="4" applyFont="1" applyNumberFormat="1" applyFill="1" applyBorder="1" applyAlignment="1">
      <alignment horizontal="general" vertical="center" textRotation="0" wrapText="false" shrinkToFit="false"/>
    </xf>
    <xf xfId="0" fontId="2" numFmtId="164" fillId="2" borderId="8" applyFont="1" applyNumberFormat="1" applyFill="1" applyBorder="1" applyAlignment="1">
      <alignment horizontal="general" vertical="center" textRotation="0" wrapText="false" shrinkToFit="false"/>
    </xf>
    <xf xfId="0" fontId="2" numFmtId="164" fillId="2" borderId="1" applyFont="1" applyNumberFormat="1" applyFill="1" applyBorder="1" applyAlignment="1">
      <alignment horizontal="general" vertical="center" textRotation="0" wrapText="false" shrinkToFit="false"/>
    </xf>
    <xf xfId="0" fontId="2" numFmtId="164" fillId="2" borderId="19" applyFont="1" applyNumberFormat="1" applyFill="1" applyBorder="1" applyAlignment="1">
      <alignment horizontal="general" vertical="center" textRotation="0" wrapText="false" shrinkToFit="false"/>
    </xf>
    <xf xfId="0" fontId="2" numFmtId="164" fillId="2" borderId="9" applyFont="1" applyNumberFormat="1" applyFill="1" applyBorder="1" applyAlignment="1">
      <alignment horizontal="general" vertical="center" textRotation="0" wrapText="false" shrinkToFit="false"/>
    </xf>
    <xf xfId="0" fontId="2" numFmtId="164" fillId="2" borderId="20" applyFont="1" applyNumberFormat="1" applyFill="1" applyBorder="1" applyAlignment="1">
      <alignment horizontal="general" vertical="center" textRotation="0" wrapText="false" shrinkToFit="false"/>
    </xf>
    <xf xfId="0" fontId="1" numFmtId="164" fillId="0" borderId="1" applyFont="1" applyNumberFormat="1" applyFill="0" applyBorder="1" applyAlignment="1">
      <alignment horizontal="general" vertical="center" textRotation="0" wrapText="false" shrinkToFit="false"/>
    </xf>
    <xf xfId="0" fontId="1" numFmtId="164" fillId="0" borderId="19" applyFont="1" applyNumberFormat="1" applyFill="0" applyBorder="1" applyAlignment="1">
      <alignment horizontal="general" vertical="center" textRotation="0" wrapText="false" shrinkToFit="false"/>
    </xf>
    <xf xfId="0" fontId="1" numFmtId="10" fillId="0" borderId="0" applyFont="1" applyNumberFormat="1" applyFill="0" applyBorder="0" applyAlignment="1">
      <alignment horizontal="left" vertical="center" textRotation="0" wrapText="false" shrinkToFit="false"/>
    </xf>
    <xf xfId="0" fontId="2" numFmtId="10" fillId="0" borderId="0" applyFont="1" applyNumberFormat="1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2" numFmtId="0" fillId="2" borderId="4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22" applyFont="1" applyNumberFormat="0" applyFill="1" applyBorder="1" applyAlignment="1">
      <alignment horizontal="center" vertical="center" textRotation="0" wrapText="true" shrinkToFit="false"/>
    </xf>
    <xf xfId="0" fontId="2" numFmtId="0" fillId="2" borderId="23" applyFont="1" applyNumberFormat="0" applyFill="1" applyBorder="1" applyAlignment="1">
      <alignment horizontal="center" vertical="center" textRotation="0" wrapText="true" shrinkToFit="false"/>
    </xf>
    <xf xfId="0" fontId="2" numFmtId="0" fillId="2" borderId="4" applyFont="1" applyNumberFormat="0" applyFill="1" applyBorder="1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false" shrinkToFit="false"/>
    </xf>
    <xf xfId="0" fontId="2" numFmtId="0" fillId="2" borderId="8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6" applyFont="1" applyNumberFormat="0" applyFill="1" applyBorder="1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942975</xdr:colOff>
      <xdr:row>0</xdr:row>
      <xdr:rowOff>38100</xdr:rowOff>
    </xdr:from>
    <xdr:ext cx="1009650" cy="704850"/>
    <xdr:pic>
      <xdr:nvPicPr>
        <xdr:cNvPr id="1" name="Picture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R133"/>
  <sheetViews>
    <sheetView tabSelected="1" workbookViewId="0" showGridLines="true" showRowColHeaders="1">
      <selection activeCell="G129" sqref="G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6" customWidth="true" style="1"/>
    <col min="4" max="4" width="16" customWidth="true" style="1"/>
    <col min="5" max="5" width="16" customWidth="true" style="1"/>
    <col min="6" max="6" width="16" customWidth="true" style="1"/>
    <col min="7" max="7" width="16" customWidth="true" style="1"/>
    <col min="8" max="8" width="16" customWidth="true" style="1"/>
    <col min="9" max="9" width="16" customWidth="true" style="1"/>
    <col min="10" max="10" width="16" customWidth="true" style="1"/>
    <col min="11" max="11" width="16" customWidth="true" style="1"/>
    <col min="12" max="12" width="16" customWidth="true" style="34"/>
    <col min="13" max="13" width="16" customWidth="true" style="1"/>
    <col min="14" max="14" width="16" customWidth="true" style="1"/>
    <col min="15" max="15" width="16" customWidth="true" style="1"/>
    <col min="16" max="16" width="16" customWidth="true" style="34"/>
    <col min="17" max="17" width="16" customWidth="true" style="1"/>
    <col min="18" max="18" width="14.28515625" style="1"/>
  </cols>
  <sheetData>
    <row r="1" spans="1:18" customHeight="1" ht="12.75">
      <c r="A1" s="2" t="s">
        <v>0</v>
      </c>
      <c r="B1" s="14"/>
      <c r="C1" s="2"/>
      <c r="D1" s="59"/>
      <c r="E1" s="59"/>
      <c r="F1" s="59"/>
      <c r="G1" s="59"/>
      <c r="H1" s="59"/>
      <c r="I1" s="59"/>
      <c r="J1" s="59"/>
      <c r="K1" s="59"/>
      <c r="L1" s="60"/>
      <c r="M1" s="59"/>
      <c r="N1" s="59"/>
      <c r="O1" s="59"/>
      <c r="P1" s="60"/>
      <c r="Q1" s="59"/>
    </row>
    <row r="2" spans="1:18" customHeight="1" ht="12.75">
      <c r="A2" s="2"/>
      <c r="B2" s="14"/>
      <c r="C2" s="2"/>
      <c r="D2" s="59"/>
      <c r="E2" s="59"/>
      <c r="F2" s="59"/>
      <c r="G2" s="59"/>
      <c r="H2" s="59"/>
      <c r="I2" s="59"/>
      <c r="J2" s="59"/>
      <c r="K2" s="59"/>
      <c r="L2" s="60"/>
      <c r="M2" s="59"/>
      <c r="N2" s="59"/>
      <c r="O2" s="59"/>
      <c r="P2" s="60"/>
      <c r="Q2" s="61" t="s">
        <v>1</v>
      </c>
    </row>
    <row r="3" spans="1:18" customHeight="1" ht="12.75">
      <c r="A3" s="2" t="s">
        <v>2</v>
      </c>
      <c r="B3" s="14">
        <v>997</v>
      </c>
      <c r="C3" s="2"/>
      <c r="D3" s="59"/>
      <c r="E3" s="59"/>
      <c r="F3" s="59"/>
      <c r="G3" s="59"/>
      <c r="H3" s="59"/>
      <c r="I3" s="59"/>
      <c r="J3" s="59"/>
      <c r="K3" s="59"/>
      <c r="L3" s="60"/>
      <c r="M3" s="59"/>
      <c r="N3" s="59"/>
      <c r="O3" s="59"/>
      <c r="P3" s="60"/>
      <c r="Q3" s="59"/>
    </row>
    <row r="4" spans="1:18" customHeight="1" ht="12.75">
      <c r="A4" s="2" t="s">
        <v>3</v>
      </c>
      <c r="B4" s="14" t="s">
        <v>4</v>
      </c>
      <c r="C4" s="2"/>
      <c r="D4" s="59"/>
      <c r="E4" s="59"/>
      <c r="F4" s="59"/>
      <c r="G4" s="59"/>
      <c r="H4" s="59"/>
      <c r="I4" s="59"/>
      <c r="J4" s="59"/>
      <c r="K4" s="59"/>
      <c r="L4" s="60"/>
      <c r="M4" s="59"/>
      <c r="N4" s="59"/>
      <c r="O4" s="59"/>
      <c r="P4" s="60"/>
      <c r="Q4" s="59"/>
    </row>
    <row r="5" spans="1:18" customHeight="1" ht="12.75">
      <c r="A5" s="2" t="s">
        <v>5</v>
      </c>
      <c r="B5" s="14" t="s">
        <v>6</v>
      </c>
      <c r="C5" s="2"/>
      <c r="D5" s="59"/>
      <c r="E5" s="59"/>
      <c r="F5" s="59"/>
      <c r="G5" s="59"/>
      <c r="H5" s="59"/>
      <c r="I5" s="59"/>
      <c r="J5" s="59"/>
      <c r="K5" s="59"/>
      <c r="L5" s="60"/>
      <c r="M5" s="59"/>
      <c r="N5" s="59"/>
      <c r="O5" s="59"/>
      <c r="P5" s="60"/>
      <c r="Q5" s="59"/>
    </row>
    <row r="6" spans="1:18" customHeight="1" ht="12.75">
      <c r="A6" s="2" t="s">
        <v>7</v>
      </c>
      <c r="B6" s="14" t="s">
        <v>8</v>
      </c>
      <c r="C6" s="2"/>
      <c r="D6" s="59"/>
      <c r="E6" s="59"/>
      <c r="F6" s="59"/>
      <c r="G6" s="67" t="s">
        <v>9</v>
      </c>
      <c r="H6" s="67"/>
      <c r="I6" s="67"/>
      <c r="J6" s="59"/>
      <c r="K6" s="59"/>
      <c r="L6" s="60"/>
      <c r="M6" s="59"/>
      <c r="N6" s="59"/>
      <c r="O6" s="59"/>
      <c r="P6" s="60"/>
      <c r="Q6" s="59"/>
    </row>
    <row r="7" spans="1:18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D7" s="59"/>
      <c r="E7" s="59"/>
      <c r="F7" s="59"/>
      <c r="G7" s="67"/>
      <c r="H7" s="67"/>
      <c r="I7" s="67"/>
      <c r="J7" s="59"/>
      <c r="K7" s="59"/>
      <c r="L7" s="60"/>
      <c r="M7" s="59"/>
      <c r="N7" s="59"/>
      <c r="O7" s="59"/>
      <c r="P7" s="73" t="s">
        <v>12</v>
      </c>
      <c r="Q7" s="73"/>
    </row>
    <row r="8" spans="1:18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D8" s="59"/>
      <c r="E8" s="59"/>
      <c r="F8" s="59"/>
      <c r="G8" s="59"/>
      <c r="H8" s="59"/>
      <c r="I8" s="59"/>
      <c r="J8" s="59"/>
      <c r="K8" s="59"/>
      <c r="L8" s="60"/>
      <c r="M8" s="59"/>
      <c r="N8" s="59"/>
      <c r="O8" s="59"/>
      <c r="P8" s="73"/>
      <c r="Q8" s="73"/>
    </row>
    <row r="9" spans="1:18" customHeight="1" ht="12.75">
      <c r="B9" s="57"/>
      <c r="D9" s="59"/>
      <c r="E9" s="59"/>
      <c r="F9" s="59"/>
      <c r="G9" s="59"/>
      <c r="H9" s="59"/>
      <c r="I9" s="59"/>
      <c r="J9" s="59"/>
      <c r="K9" s="59"/>
      <c r="L9" s="60"/>
      <c r="M9" s="59"/>
      <c r="N9" s="59"/>
      <c r="O9" s="59"/>
      <c r="P9" s="60"/>
      <c r="Q9" s="59"/>
    </row>
    <row r="10" spans="1:18" customHeight="1" ht="12.75">
      <c r="D10" s="59"/>
      <c r="E10" s="59"/>
      <c r="F10" s="59"/>
      <c r="G10" s="59"/>
      <c r="H10" s="59"/>
      <c r="I10" s="59"/>
      <c r="J10" s="59"/>
      <c r="K10" s="59"/>
      <c r="L10" s="60"/>
      <c r="M10" s="59"/>
      <c r="N10" s="59"/>
      <c r="O10" s="59"/>
      <c r="P10" s="60"/>
      <c r="Q10" s="59"/>
    </row>
    <row r="11" spans="1:18" customHeight="1" ht="25.5">
      <c r="A11" s="8" t="s">
        <v>15</v>
      </c>
      <c r="B11" s="9"/>
      <c r="C11" s="9"/>
      <c r="D11" s="9"/>
      <c r="E11" s="9"/>
      <c r="F11" s="9"/>
      <c r="G11" s="72" t="s">
        <v>16</v>
      </c>
      <c r="H11" s="72"/>
      <c r="I11" s="72"/>
      <c r="J11" s="9"/>
      <c r="K11" s="9"/>
      <c r="L11" s="35"/>
      <c r="M11" s="9"/>
      <c r="N11" s="9"/>
      <c r="O11" s="9"/>
      <c r="P11" s="35"/>
      <c r="Q11" s="10"/>
    </row>
    <row r="12" spans="1:18" customHeight="1" ht="12.75">
      <c r="A12" s="63" t="s">
        <v>17</v>
      </c>
      <c r="B12" s="62" t="s">
        <v>18</v>
      </c>
      <c r="C12" s="66" t="s">
        <v>19</v>
      </c>
      <c r="D12" s="66"/>
      <c r="E12" s="66"/>
      <c r="F12" s="66"/>
      <c r="G12" s="62" t="s">
        <v>20</v>
      </c>
      <c r="H12" s="62" t="s">
        <v>21</v>
      </c>
      <c r="I12" s="62" t="s">
        <v>22</v>
      </c>
      <c r="J12" s="66" t="s">
        <v>23</v>
      </c>
      <c r="K12" s="66" t="s">
        <v>24</v>
      </c>
      <c r="L12" s="66"/>
      <c r="M12" s="66"/>
      <c r="N12" s="70" t="s">
        <v>25</v>
      </c>
      <c r="O12" s="66" t="s">
        <v>26</v>
      </c>
      <c r="P12" s="66"/>
      <c r="Q12" s="68"/>
    </row>
    <row r="13" spans="1:18" customHeight="1" ht="12.75" s="25" customFormat="1">
      <c r="A13" s="64"/>
      <c r="B13" s="62"/>
      <c r="C13" s="62" t="s">
        <v>27</v>
      </c>
      <c r="D13" s="62" t="s">
        <v>28</v>
      </c>
      <c r="E13" s="62" t="s">
        <v>29</v>
      </c>
      <c r="F13" s="62" t="s">
        <v>30</v>
      </c>
      <c r="G13" s="62"/>
      <c r="H13" s="62"/>
      <c r="I13" s="62"/>
      <c r="J13" s="66"/>
      <c r="K13" s="66"/>
      <c r="L13" s="66"/>
      <c r="M13" s="66"/>
      <c r="N13" s="71"/>
      <c r="O13" s="62" t="s">
        <v>31</v>
      </c>
      <c r="P13" s="62"/>
      <c r="Q13" s="69" t="s">
        <v>32</v>
      </c>
    </row>
    <row r="14" spans="1:18" customHeight="1" ht="12.75" s="25" customFormat="1">
      <c r="A14" s="65"/>
      <c r="B14" s="62"/>
      <c r="C14" s="62"/>
      <c r="D14" s="62"/>
      <c r="E14" s="62"/>
      <c r="F14" s="62"/>
      <c r="G14" s="62"/>
      <c r="H14" s="62"/>
      <c r="I14" s="62"/>
      <c r="J14" s="24" t="s">
        <v>33</v>
      </c>
      <c r="K14" s="24" t="s">
        <v>33</v>
      </c>
      <c r="L14" s="36" t="s">
        <v>34</v>
      </c>
      <c r="M14" s="24" t="s">
        <v>35</v>
      </c>
      <c r="N14" s="33" t="s">
        <v>33</v>
      </c>
      <c r="O14" s="24" t="s">
        <v>33</v>
      </c>
      <c r="P14" s="36" t="s">
        <v>34</v>
      </c>
      <c r="Q14" s="69"/>
    </row>
    <row r="15" spans="1:18" customHeight="1" ht="12.75">
      <c r="A15" s="17"/>
      <c r="B15" s="3"/>
      <c r="C15" s="26" t="s">
        <v>36</v>
      </c>
      <c r="D15" s="27" t="s">
        <v>37</v>
      </c>
      <c r="E15" s="27" t="s">
        <v>38</v>
      </c>
      <c r="F15" s="27" t="s">
        <v>39</v>
      </c>
      <c r="G15" s="27"/>
      <c r="H15" s="27" t="s">
        <v>40</v>
      </c>
      <c r="I15" s="27" t="s">
        <v>41</v>
      </c>
      <c r="J15" s="27" t="s">
        <v>42</v>
      </c>
      <c r="K15" s="28" t="s">
        <v>43</v>
      </c>
      <c r="L15" s="29" t="s">
        <v>44</v>
      </c>
      <c r="M15" s="30" t="s">
        <v>45</v>
      </c>
      <c r="N15" s="30"/>
      <c r="O15" s="30" t="s">
        <v>46</v>
      </c>
      <c r="P15" s="31" t="s">
        <v>47</v>
      </c>
      <c r="Q15" s="32" t="s">
        <v>48</v>
      </c>
    </row>
    <row r="16" spans="1:18" customHeight="1" ht="12.75">
      <c r="A16" s="18">
        <v>1.0</v>
      </c>
      <c r="B16" s="4" t="s">
        <v>49</v>
      </c>
      <c r="C16" s="43"/>
      <c r="D16" s="43"/>
      <c r="E16" s="43"/>
      <c r="F16" s="43"/>
      <c r="G16" s="43"/>
      <c r="H16" s="43"/>
      <c r="I16" s="43" t="str">
        <f>IF(H16="", "", J16-H16)</f>
        <v/>
      </c>
      <c r="J16" s="43" t="str">
        <f>IF(ISBLANK(Projection!P13), "", Projection!P13)</f>
        <v/>
      </c>
      <c r="K16" s="43" t="str">
        <f>IF(ISBLANK('Committed Cost'!P13), "", 'Committed Cost'!P13)</f>
        <v/>
      </c>
      <c r="L16" s="37" t="str">
        <f>IFERROR(IF(ISBLANK(F16), "", K16/F16), 0)</f>
        <v/>
      </c>
      <c r="M16" s="43" t="str">
        <f>IF(F16="", "", F16-K16)</f>
        <v/>
      </c>
      <c r="N16" s="43" t="str">
        <f>IF(ISBLANK(Accrual!P13), "", Accrual!P13)</f>
        <v/>
      </c>
      <c r="O16" s="43" t="str">
        <f>IF(ISBLANK('Cash Flow'!P13), "",'Cash Flow'!P13)</f>
        <v/>
      </c>
      <c r="P16" s="37" t="str">
        <f>IFERROR(IF(O16="", "", O16/K16), 0)</f>
        <v/>
      </c>
      <c r="Q16" s="44" t="str">
        <f>IF(K16="", "", K16-O16)</f>
        <v/>
      </c>
    </row>
    <row r="17" spans="1:18" customHeight="1" ht="12.75">
      <c r="A17" s="18">
        <v>1.1</v>
      </c>
      <c r="B17" s="4" t="s">
        <v>50</v>
      </c>
      <c r="C17" s="43">
        <v>436982.6</v>
      </c>
      <c r="D17" s="43">
        <v>436982.6</v>
      </c>
      <c r="E17" s="43">
        <v>0</v>
      </c>
      <c r="F17" s="43">
        <f>D17+E17</f>
        <v>436982.6</v>
      </c>
      <c r="G17" s="43">
        <v>450905</v>
      </c>
      <c r="H17" s="43">
        <v>450905</v>
      </c>
      <c r="I17" s="43">
        <f>IF(H17="", "", J17-H17)</f>
        <v>0.20000000001164</v>
      </c>
      <c r="J17" s="43">
        <f>IF(ISBLANK(Projection!P14), "", Projection!P14)</f>
        <v>450905.2</v>
      </c>
      <c r="K17" s="43">
        <f>IF(ISBLANK('Committed Cost'!P14), "", 'Committed Cost'!P14)</f>
        <v>450904.637</v>
      </c>
      <c r="L17" s="37">
        <f>IFERROR(IF(ISBLANK(F17), "", K17/F17), 0)</f>
        <v>1.0318594767847</v>
      </c>
      <c r="M17" s="43">
        <f>IF(F17="", "", F17-K17)</f>
        <v>-13922.037</v>
      </c>
      <c r="N17" s="43">
        <f>IF(ISBLANK(Accrual!P14), "", Accrual!P14)</f>
        <v>1078037.5694</v>
      </c>
      <c r="O17" s="43">
        <f>IF(ISBLANK('Cash Flow'!P14), "",'Cash Flow'!P14)</f>
        <v>1063076.89242</v>
      </c>
      <c r="P17" s="37">
        <f>IFERROR(IF(O17="", "", O17/K17), 0)</f>
        <v>2.3576534929713</v>
      </c>
      <c r="Q17" s="44">
        <f>IF(K17="", "", K17-O17)</f>
        <v>-612172.25542</v>
      </c>
    </row>
    <row r="18" spans="1:18" customHeight="1" ht="12.75">
      <c r="A18" s="18">
        <v>1.2</v>
      </c>
      <c r="B18" s="4" t="s">
        <v>51</v>
      </c>
      <c r="C18" s="43"/>
      <c r="D18" s="43"/>
      <c r="E18" s="43"/>
      <c r="F18" s="43"/>
      <c r="G18" s="43"/>
      <c r="H18" s="43"/>
      <c r="I18" s="43" t="str">
        <f>IF(H18="", "", J18-H18)</f>
        <v/>
      </c>
      <c r="J18" s="43" t="str">
        <f>IF(ISBLANK(Projection!P15), "", Projection!P15)</f>
        <v/>
      </c>
      <c r="K18" s="43" t="str">
        <f>IF(ISBLANK('Committed Cost'!P15), "", 'Committed Cost'!P15)</f>
        <v/>
      </c>
      <c r="L18" s="37" t="str">
        <f>IFERROR(IF(ISBLANK(F18), "", K18/F18), 0)</f>
        <v/>
      </c>
      <c r="M18" s="43" t="str">
        <f>IF(F18="", "", F18-K18)</f>
        <v/>
      </c>
      <c r="N18" s="43" t="str">
        <f>IF(ISBLANK(Accrual!P15), "", Accrual!P15)</f>
        <v/>
      </c>
      <c r="O18" s="43" t="str">
        <f>IF(ISBLANK('Cash Flow'!P15), "",'Cash Flow'!P15)</f>
        <v/>
      </c>
      <c r="P18" s="37" t="str">
        <f>IFERROR(IF(O18="", "", O18/K18), 0)</f>
        <v/>
      </c>
      <c r="Q18" s="44" t="str">
        <f>IF(K18="", "", K18-O18)</f>
        <v/>
      </c>
    </row>
    <row r="19" spans="1:18" customHeight="1" ht="12.75">
      <c r="A19" s="18" t="s">
        <v>52</v>
      </c>
      <c r="B19" s="4" t="s">
        <v>53</v>
      </c>
      <c r="C19" s="43">
        <v>6465.1</v>
      </c>
      <c r="D19" s="43">
        <v>16046.3</v>
      </c>
      <c r="E19" s="43">
        <v>0</v>
      </c>
      <c r="F19" s="43">
        <f>D19+E19</f>
        <v>16046.3</v>
      </c>
      <c r="G19" s="43">
        <v>439449</v>
      </c>
      <c r="H19" s="43">
        <v>439449</v>
      </c>
      <c r="I19" s="43">
        <f>IF(H19="", "", J19-H19)</f>
        <v>48558.3</v>
      </c>
      <c r="J19" s="43">
        <f>IF(ISBLANK(Projection!P16), "", Projection!P16)</f>
        <v>488007.3</v>
      </c>
      <c r="K19" s="43">
        <f>IF(ISBLANK('Committed Cost'!P16), "", 'Committed Cost'!P16)</f>
        <v>372644.19872</v>
      </c>
      <c r="L19" s="37">
        <f>IFERROR(IF(ISBLANK(F19), "", K19/F19), 0)</f>
        <v>23.223060688134</v>
      </c>
      <c r="M19" s="43">
        <f>IF(F19="", "", F19-K19)</f>
        <v>-356597.89872</v>
      </c>
      <c r="N19" s="43">
        <f>IF(ISBLANK(Accrual!P16), "", Accrual!P16)</f>
        <v>0</v>
      </c>
      <c r="O19" s="43">
        <f>IF(ISBLANK('Cash Flow'!P16), "",'Cash Flow'!P16)</f>
        <v>0</v>
      </c>
      <c r="P19" s="37">
        <f>IFERROR(IF(O19="", "", O19/K19), 0)</f>
        <v>0</v>
      </c>
      <c r="Q19" s="44">
        <f>IF(K19="", "", K19-O19)</f>
        <v>372644.19872</v>
      </c>
    </row>
    <row r="20" spans="1:18" customHeight="1" ht="12.75">
      <c r="A20" s="18" t="s">
        <v>54</v>
      </c>
      <c r="B20" s="4" t="s">
        <v>55</v>
      </c>
      <c r="C20" s="43">
        <v>0</v>
      </c>
      <c r="D20" s="43">
        <v>0</v>
      </c>
      <c r="E20" s="43">
        <v>0</v>
      </c>
      <c r="F20" s="43">
        <f>D20+E20</f>
        <v>0</v>
      </c>
      <c r="G20" s="43">
        <v>83495</v>
      </c>
      <c r="H20" s="43">
        <v>83495</v>
      </c>
      <c r="I20" s="43">
        <f>IF(H20="", "", J20-H20)</f>
        <v>9248.5</v>
      </c>
      <c r="J20" s="43">
        <f>IF(ISBLANK(Projection!P17), "", Projection!P17)</f>
        <v>92743.5</v>
      </c>
      <c r="K20" s="43">
        <f>IF(ISBLANK('Committed Cost'!P17), "", 'Committed Cost'!P17)</f>
        <v>70704.0802</v>
      </c>
      <c r="L20" s="37">
        <f>IFERROR(IF(ISBLANK(F20), "", K20/F20), 0)</f>
        <v>0</v>
      </c>
      <c r="M20" s="43">
        <f>IF(F20="", "", F20-K20)</f>
        <v>-70704.0802</v>
      </c>
      <c r="N20" s="43">
        <f>IF(ISBLANK(Accrual!P17), "", Accrual!P17)</f>
        <v>0</v>
      </c>
      <c r="O20" s="43">
        <f>IF(ISBLANK('Cash Flow'!P17), "",'Cash Flow'!P17)</f>
        <v>0</v>
      </c>
      <c r="P20" s="37">
        <f>IFERROR(IF(O20="", "", O20/K20), 0)</f>
        <v>0</v>
      </c>
      <c r="Q20" s="44">
        <f>IF(K20="", "", K20-O20)</f>
        <v>70704.0802</v>
      </c>
    </row>
    <row r="21" spans="1:18" customHeight="1" ht="12.75">
      <c r="A21" s="18">
        <v>1.3</v>
      </c>
      <c r="B21" s="4" t="s">
        <v>56</v>
      </c>
      <c r="C21" s="43">
        <v>0</v>
      </c>
      <c r="D21" s="43">
        <v>0</v>
      </c>
      <c r="E21" s="43">
        <v>0</v>
      </c>
      <c r="F21" s="43">
        <f>D21+E21</f>
        <v>0</v>
      </c>
      <c r="G21" s="43">
        <v>3887</v>
      </c>
      <c r="H21" s="43">
        <v>3887</v>
      </c>
      <c r="I21" s="43">
        <f>IF(H21="", "", J21-H21)</f>
        <v>57.043</v>
      </c>
      <c r="J21" s="43">
        <f>IF(ISBLANK(Projection!P18), "", Projection!P18)</f>
        <v>3944.043</v>
      </c>
      <c r="K21" s="43">
        <f>IF(ISBLANK('Committed Cost'!P18), "", 'Committed Cost'!P18)</f>
        <v>2706.41</v>
      </c>
      <c r="L21" s="37">
        <f>IFERROR(IF(ISBLANK(F21), "", K21/F21), 0)</f>
        <v>0</v>
      </c>
      <c r="M21" s="43">
        <f>IF(F21="", "", F21-K21)</f>
        <v>-2706.41</v>
      </c>
      <c r="N21" s="43">
        <f>IF(ISBLANK(Accrual!P18), "", Accrual!P18)</f>
        <v>2030.34</v>
      </c>
      <c r="O21" s="43">
        <f>IF(ISBLANK('Cash Flow'!P18), "",'Cash Flow'!P18)</f>
        <v>0</v>
      </c>
      <c r="P21" s="37">
        <f>IFERROR(IF(O21="", "", O21/K21), 0)</f>
        <v>0</v>
      </c>
      <c r="Q21" s="44">
        <f>IF(K21="", "", K21-O21)</f>
        <v>2706.41</v>
      </c>
    </row>
    <row r="22" spans="1:18" customHeight="1" ht="12.75" hidden="true">
      <c r="A22" s="18">
        <v>1.4</v>
      </c>
      <c r="B22" s="4" t="s">
        <v>57</v>
      </c>
      <c r="C22" s="43">
        <v>0</v>
      </c>
      <c r="D22" s="43">
        <v>0</v>
      </c>
      <c r="E22" s="43">
        <v>0</v>
      </c>
      <c r="F22" s="43">
        <f>D22+E22</f>
        <v>0</v>
      </c>
      <c r="G22" s="43">
        <v>0</v>
      </c>
      <c r="H22" s="43">
        <v>0</v>
      </c>
      <c r="I22" s="43">
        <f>IF(H22="", "", J22-H22)</f>
        <v>0</v>
      </c>
      <c r="J22" s="43">
        <f>IF(ISBLANK(Projection!P19), "", Projection!P19)</f>
        <v>0</v>
      </c>
      <c r="K22" s="43">
        <f>IF(ISBLANK('Committed Cost'!P19), "", 'Committed Cost'!P19)</f>
        <v>0</v>
      </c>
      <c r="L22" s="37">
        <f>IFERROR(IF(ISBLANK(F22), "", K22/F22), 0)</f>
        <v>0</v>
      </c>
      <c r="M22" s="43">
        <f>IF(F22="", "", F22-K22)</f>
        <v>0</v>
      </c>
      <c r="N22" s="43">
        <f>IF(ISBLANK(Accrual!P19), "", Accrual!P19)</f>
        <v>0</v>
      </c>
      <c r="O22" s="43">
        <f>IF(ISBLANK('Cash Flow'!P19), "",'Cash Flow'!P19)</f>
        <v>0</v>
      </c>
      <c r="P22" s="37">
        <f>IFERROR(IF(O22="", "", O22/K22), 0)</f>
        <v>0</v>
      </c>
      <c r="Q22" s="44">
        <f>IF(K22="", "", K22-O22)</f>
        <v>0</v>
      </c>
    </row>
    <row r="23" spans="1:18" customHeight="1" ht="12.75" hidden="true">
      <c r="A23" s="18">
        <v>1.5</v>
      </c>
      <c r="B23" s="4" t="s">
        <v>58</v>
      </c>
      <c r="C23" s="43">
        <v>0</v>
      </c>
      <c r="D23" s="43">
        <v>0</v>
      </c>
      <c r="E23" s="43">
        <v>0</v>
      </c>
      <c r="F23" s="43">
        <f>D23+E23</f>
        <v>0</v>
      </c>
      <c r="G23" s="43">
        <v>0</v>
      </c>
      <c r="H23" s="43">
        <v>0</v>
      </c>
      <c r="I23" s="43">
        <f>IF(H23="", "", J23-H23)</f>
        <v>0</v>
      </c>
      <c r="J23" s="43">
        <f>IF(ISBLANK(Projection!P20), "", Projection!P20)</f>
        <v>0</v>
      </c>
      <c r="K23" s="43">
        <f>IF(ISBLANK('Committed Cost'!P20), "", 'Committed Cost'!P20)</f>
        <v>0</v>
      </c>
      <c r="L23" s="37">
        <f>IFERROR(IF(ISBLANK(F23), "", K23/F23), 0)</f>
        <v>0</v>
      </c>
      <c r="M23" s="43">
        <f>IF(F23="", "", F23-K23)</f>
        <v>0</v>
      </c>
      <c r="N23" s="43">
        <f>IF(ISBLANK(Accrual!P20), "", Accrual!P20)</f>
        <v>0</v>
      </c>
      <c r="O23" s="43">
        <f>IF(ISBLANK('Cash Flow'!P20), "",'Cash Flow'!P20)</f>
        <v>0</v>
      </c>
      <c r="P23" s="37">
        <f>IFERROR(IF(O23="", "", O23/K23), 0)</f>
        <v>0</v>
      </c>
      <c r="Q23" s="44">
        <f>IF(K23="", "", K23-O23)</f>
        <v>0</v>
      </c>
    </row>
    <row r="24" spans="1:18" customHeight="1" ht="12.75" hidden="true">
      <c r="A24" s="18">
        <v>1.6</v>
      </c>
      <c r="B24" s="4" t="s">
        <v>59</v>
      </c>
      <c r="C24" s="43">
        <v>0</v>
      </c>
      <c r="D24" s="43">
        <v>0</v>
      </c>
      <c r="E24" s="43">
        <v>0</v>
      </c>
      <c r="F24" s="43">
        <f>D24+E24</f>
        <v>0</v>
      </c>
      <c r="G24" s="43">
        <v>0</v>
      </c>
      <c r="H24" s="43">
        <v>0</v>
      </c>
      <c r="I24" s="43">
        <f>IF(H24="", "", J24-H24)</f>
        <v>0</v>
      </c>
      <c r="J24" s="43">
        <f>IF(ISBLANK(Projection!P21), "", Projection!P21)</f>
        <v>0</v>
      </c>
      <c r="K24" s="43">
        <f>IF(ISBLANK('Committed Cost'!P21), "", 'Committed Cost'!P21)</f>
        <v>0</v>
      </c>
      <c r="L24" s="37">
        <f>IFERROR(IF(ISBLANK(F24), "", K24/F24), 0)</f>
        <v>0</v>
      </c>
      <c r="M24" s="43">
        <f>IF(F24="", "", F24-K24)</f>
        <v>0</v>
      </c>
      <c r="N24" s="43">
        <f>IF(ISBLANK(Accrual!P21), "", Accrual!P21)</f>
        <v>0</v>
      </c>
      <c r="O24" s="43">
        <f>IF(ISBLANK('Cash Flow'!P21), "",'Cash Flow'!P21)</f>
        <v>0</v>
      </c>
      <c r="P24" s="37">
        <f>IFERROR(IF(O24="", "", O24/K24), 0)</f>
        <v>0</v>
      </c>
      <c r="Q24" s="44">
        <f>IF(K24="", "", K24-O24)</f>
        <v>0</v>
      </c>
    </row>
    <row r="25" spans="1:18" customHeight="1" ht="12.75" hidden="true">
      <c r="A25" s="18">
        <v>1.7</v>
      </c>
      <c r="B25" s="4" t="s">
        <v>60</v>
      </c>
      <c r="C25" s="43">
        <v>0</v>
      </c>
      <c r="D25" s="43">
        <v>0</v>
      </c>
      <c r="E25" s="43">
        <v>0</v>
      </c>
      <c r="F25" s="43">
        <f>D25+E25</f>
        <v>0</v>
      </c>
      <c r="G25" s="43">
        <v>0</v>
      </c>
      <c r="H25" s="43">
        <v>0</v>
      </c>
      <c r="I25" s="43">
        <f>IF(H25="", "", J25-H25)</f>
        <v>0</v>
      </c>
      <c r="J25" s="43">
        <f>IF(ISBLANK(Projection!P22), "", Projection!P22)</f>
        <v>0</v>
      </c>
      <c r="K25" s="43">
        <f>IF(ISBLANK('Committed Cost'!P22), "", 'Committed Cost'!P22)</f>
        <v>0</v>
      </c>
      <c r="L25" s="37">
        <f>IFERROR(IF(ISBLANK(F25), "", K25/F25), 0)</f>
        <v>0</v>
      </c>
      <c r="M25" s="43">
        <f>IF(F25="", "", F25-K25)</f>
        <v>0</v>
      </c>
      <c r="N25" s="43">
        <f>IF(ISBLANK(Accrual!P22), "", Accrual!P22)</f>
        <v>0</v>
      </c>
      <c r="O25" s="43">
        <f>IF(ISBLANK('Cash Flow'!P22), "",'Cash Flow'!P22)</f>
        <v>0</v>
      </c>
      <c r="P25" s="37">
        <f>IFERROR(IF(O25="", "", O25/K25), 0)</f>
        <v>0</v>
      </c>
      <c r="Q25" s="44">
        <f>IF(K25="", "", K25-O25)</f>
        <v>0</v>
      </c>
    </row>
    <row r="26" spans="1:18" customHeight="1" ht="12.75">
      <c r="A26" s="18">
        <v>1.8</v>
      </c>
      <c r="B26" s="4" t="s">
        <v>61</v>
      </c>
      <c r="C26" s="43">
        <v>21901.67</v>
      </c>
      <c r="D26" s="43">
        <v>21901.67</v>
      </c>
      <c r="E26" s="43">
        <v>0</v>
      </c>
      <c r="F26" s="43">
        <f>D26+E26</f>
        <v>21901.67</v>
      </c>
      <c r="G26" s="43">
        <v>175327</v>
      </c>
      <c r="H26" s="43">
        <v>175327</v>
      </c>
      <c r="I26" s="43">
        <f>IF(H26="", "", J26-H26)</f>
        <v>-494.32999999999</v>
      </c>
      <c r="J26" s="43">
        <f>IF(ISBLANK(Projection!P23), "", Projection!P23)</f>
        <v>174832.67</v>
      </c>
      <c r="K26" s="43">
        <f>IF(ISBLANK('Committed Cost'!P23), "", 'Committed Cost'!P23)</f>
        <v>183109</v>
      </c>
      <c r="L26" s="37">
        <f>IFERROR(IF(ISBLANK(F26), "", K26/F26), 0)</f>
        <v>8.3605040163604</v>
      </c>
      <c r="M26" s="43">
        <f>IF(F26="", "", F26-K26)</f>
        <v>-161207.33</v>
      </c>
      <c r="N26" s="43">
        <f>IF(ISBLANK(Accrual!P23), "", Accrual!P23)</f>
        <v>0</v>
      </c>
      <c r="O26" s="43">
        <f>IF(ISBLANK('Cash Flow'!P23), "",'Cash Flow'!P23)</f>
        <v>0</v>
      </c>
      <c r="P26" s="37">
        <f>IFERROR(IF(O26="", "", O26/K26), 0)</f>
        <v>0</v>
      </c>
      <c r="Q26" s="44">
        <f>IF(K26="", "", K26-O26)</f>
        <v>183109</v>
      </c>
    </row>
    <row r="27" spans="1:18" customHeight="1" ht="12.75">
      <c r="A27" s="18">
        <v>1.9</v>
      </c>
      <c r="B27" s="4" t="s">
        <v>62</v>
      </c>
      <c r="C27" s="43">
        <v>14386.04</v>
      </c>
      <c r="D27" s="43">
        <v>14386.04</v>
      </c>
      <c r="E27" s="43">
        <v>0</v>
      </c>
      <c r="F27" s="43">
        <f>D27+E27</f>
        <v>14386.04</v>
      </c>
      <c r="G27" s="43">
        <v>0</v>
      </c>
      <c r="H27" s="43">
        <v>0</v>
      </c>
      <c r="I27" s="43">
        <f>IF(H27="", "", J27-H27)</f>
        <v>0</v>
      </c>
      <c r="J27" s="43">
        <f>IF(ISBLANK(Projection!P24), "", Projection!P24)</f>
        <v>0</v>
      </c>
      <c r="K27" s="43">
        <f>IF(ISBLANK('Committed Cost'!P24), "", 'Committed Cost'!P24)</f>
        <v>0</v>
      </c>
      <c r="L27" s="37">
        <f>IFERROR(IF(ISBLANK(F27), "", K27/F27), 0)</f>
        <v>0</v>
      </c>
      <c r="M27" s="43">
        <f>IF(F27="", "", F27-K27)</f>
        <v>14386.04</v>
      </c>
      <c r="N27" s="43">
        <f>IF(ISBLANK(Accrual!P24), "", Accrual!P24)</f>
        <v>0</v>
      </c>
      <c r="O27" s="43">
        <f>IF(ISBLANK('Cash Flow'!P24), "",'Cash Flow'!P24)</f>
        <v>0</v>
      </c>
      <c r="P27" s="37">
        <f>IFERROR(IF(O27="", "", O27/K27), 0)</f>
        <v>0</v>
      </c>
      <c r="Q27" s="44">
        <f>IF(K27="", "", K27-O27)</f>
        <v>0</v>
      </c>
    </row>
    <row r="28" spans="1:18" customHeight="1" ht="12.75">
      <c r="A28" s="18" t="s">
        <v>63</v>
      </c>
      <c r="B28" s="4" t="s">
        <v>64</v>
      </c>
      <c r="C28" s="43">
        <v>0</v>
      </c>
      <c r="D28" s="43">
        <v>0</v>
      </c>
      <c r="E28" s="43">
        <v>0</v>
      </c>
      <c r="F28" s="43">
        <f>D28+E28</f>
        <v>0</v>
      </c>
      <c r="G28" s="43">
        <v>0.4</v>
      </c>
      <c r="H28" s="43">
        <v>0.4</v>
      </c>
      <c r="I28" s="43">
        <f>IF(H28="", "", J28-H28)</f>
        <v>0</v>
      </c>
      <c r="J28" s="43">
        <f>IF(ISBLANK(Projection!P25), "", Projection!P25)</f>
        <v>0.4</v>
      </c>
      <c r="K28" s="43">
        <f>IF(ISBLANK('Committed Cost'!P25), "", 'Committed Cost'!P25)</f>
        <v>0</v>
      </c>
      <c r="L28" s="37">
        <f>IFERROR(IF(ISBLANK(F28), "", K28/F28), 0)</f>
        <v>0</v>
      </c>
      <c r="M28" s="43">
        <f>IF(F28="", "", F28-K28)</f>
        <v>0</v>
      </c>
      <c r="N28" s="43">
        <f>IF(ISBLANK(Accrual!P25), "", Accrual!P25)</f>
        <v>0</v>
      </c>
      <c r="O28" s="43">
        <f>IF(ISBLANK('Cash Flow'!P25), "",'Cash Flow'!P25)</f>
        <v>0.0225</v>
      </c>
      <c r="P28" s="37">
        <f>IFERROR(IF(O28="", "", O28/K28), 0)</f>
        <v>0</v>
      </c>
      <c r="Q28" s="44">
        <f>IF(K28="", "", K28-O28)</f>
        <v>-0.0225</v>
      </c>
    </row>
    <row r="29" spans="1:18" customHeight="1" ht="12.75" hidden="true">
      <c r="A29" s="18">
        <v>1.11</v>
      </c>
      <c r="B29" s="4" t="s">
        <v>65</v>
      </c>
      <c r="C29" s="43">
        <v>0</v>
      </c>
      <c r="D29" s="43">
        <v>0</v>
      </c>
      <c r="E29" s="43">
        <v>0</v>
      </c>
      <c r="F29" s="43">
        <f>D29+E29</f>
        <v>0</v>
      </c>
      <c r="G29" s="43">
        <v>0</v>
      </c>
      <c r="H29" s="43">
        <v>0</v>
      </c>
      <c r="I29" s="43">
        <f>IF(H29="", "", J29-H29)</f>
        <v>0</v>
      </c>
      <c r="J29" s="43">
        <f>IF(ISBLANK(Projection!P26), "", Projection!P26)</f>
        <v>0</v>
      </c>
      <c r="K29" s="43">
        <f>IF(ISBLANK('Committed Cost'!P26), "", 'Committed Cost'!P26)</f>
        <v>0</v>
      </c>
      <c r="L29" s="37">
        <f>IFERROR(IF(ISBLANK(F29), "", K29/F29), 0)</f>
        <v>0</v>
      </c>
      <c r="M29" s="43">
        <f>IF(F29="", "", F29-K29)</f>
        <v>0</v>
      </c>
      <c r="N29" s="43">
        <f>IF(ISBLANK(Accrual!P26), "", Accrual!P26)</f>
        <v>0</v>
      </c>
      <c r="O29" s="43">
        <f>IF(ISBLANK('Cash Flow'!P26), "",'Cash Flow'!P26)</f>
        <v>0</v>
      </c>
      <c r="P29" s="37">
        <f>IFERROR(IF(O29="", "", O29/K29), 0)</f>
        <v>0</v>
      </c>
      <c r="Q29" s="44">
        <f>IF(K29="", "", K29-O29)</f>
        <v>0</v>
      </c>
    </row>
    <row r="30" spans="1:18" customHeight="1" ht="12.75">
      <c r="A30" s="18">
        <v>1.12</v>
      </c>
      <c r="B30" s="4" t="s">
        <v>66</v>
      </c>
      <c r="C30" s="43"/>
      <c r="D30" s="43"/>
      <c r="E30" s="43"/>
      <c r="F30" s="43"/>
      <c r="G30" s="43"/>
      <c r="H30" s="43"/>
      <c r="I30" s="43" t="str">
        <f>IF(H30="", "", J30-H30)</f>
        <v/>
      </c>
      <c r="J30" s="43" t="str">
        <f>IF(ISBLANK(Projection!P27), "", Projection!P27)</f>
        <v/>
      </c>
      <c r="K30" s="43" t="str">
        <f>IF(ISBLANK('Committed Cost'!P27), "", 'Committed Cost'!P27)</f>
        <v/>
      </c>
      <c r="L30" s="37" t="str">
        <f>IFERROR(IF(ISBLANK(F30), "", K30/F30), 0)</f>
        <v/>
      </c>
      <c r="M30" s="43" t="str">
        <f>IF(F30="", "", F30-K30)</f>
        <v/>
      </c>
      <c r="N30" s="43" t="str">
        <f>IF(ISBLANK(Accrual!P27), "", Accrual!P27)</f>
        <v/>
      </c>
      <c r="O30" s="43" t="str">
        <f>IF(ISBLANK('Cash Flow'!P27), "",'Cash Flow'!P27)</f>
        <v/>
      </c>
      <c r="P30" s="37" t="str">
        <f>IFERROR(IF(O30="", "", O30/K30), 0)</f>
        <v/>
      </c>
      <c r="Q30" s="44" t="str">
        <f>IF(K30="", "", K30-O30)</f>
        <v/>
      </c>
    </row>
    <row r="31" spans="1:18" customHeight="1" ht="12.75">
      <c r="A31" s="18" t="s">
        <v>67</v>
      </c>
      <c r="B31" s="4" t="s">
        <v>68</v>
      </c>
      <c r="C31" s="43">
        <v>22500</v>
      </c>
      <c r="D31" s="43">
        <v>22500</v>
      </c>
      <c r="E31" s="43">
        <v>0</v>
      </c>
      <c r="F31" s="43">
        <f>D31+E31</f>
        <v>22500</v>
      </c>
      <c r="G31" s="43">
        <v>57</v>
      </c>
      <c r="H31" s="43">
        <v>57</v>
      </c>
      <c r="I31" s="43">
        <f>IF(H31="", "", J31-H31)</f>
        <v>0</v>
      </c>
      <c r="J31" s="43">
        <f>IF(ISBLANK(Projection!P28), "", Projection!P28)</f>
        <v>57</v>
      </c>
      <c r="K31" s="43">
        <f>IF(ISBLANK('Committed Cost'!P28), "", 'Committed Cost'!P28)</f>
        <v>57</v>
      </c>
      <c r="L31" s="37">
        <f>IFERROR(IF(ISBLANK(F31), "", K31/F31), 0)</f>
        <v>0.0025333333333333</v>
      </c>
      <c r="M31" s="43">
        <f>IF(F31="", "", F31-K31)</f>
        <v>22443</v>
      </c>
      <c r="N31" s="43">
        <f>IF(ISBLANK(Accrual!P28), "", Accrual!P28)</f>
        <v>57</v>
      </c>
      <c r="O31" s="43">
        <f>IF(ISBLANK('Cash Flow'!P28), "",'Cash Flow'!P28)</f>
        <v>0</v>
      </c>
      <c r="P31" s="37">
        <f>IFERROR(IF(O31="", "", O31/K31), 0)</f>
        <v>0</v>
      </c>
      <c r="Q31" s="44">
        <f>IF(K31="", "", K31-O31)</f>
        <v>57</v>
      </c>
    </row>
    <row r="32" spans="1:18" customHeight="1" ht="12.75">
      <c r="A32" s="18" t="s">
        <v>69</v>
      </c>
      <c r="B32" s="4" t="s">
        <v>70</v>
      </c>
      <c r="C32" s="43">
        <v>0</v>
      </c>
      <c r="D32" s="43">
        <v>0</v>
      </c>
      <c r="E32" s="43">
        <v>0</v>
      </c>
      <c r="F32" s="43">
        <f>D32+E32</f>
        <v>0</v>
      </c>
      <c r="G32" s="43">
        <v>57370</v>
      </c>
      <c r="H32" s="43">
        <v>57370</v>
      </c>
      <c r="I32" s="43">
        <f>IF(H32="", "", J32-H32)</f>
        <v>-57370</v>
      </c>
      <c r="J32" s="43">
        <f>IF(ISBLANK(Projection!P29), "", Projection!P29)</f>
        <v>0</v>
      </c>
      <c r="K32" s="43">
        <f>IF(ISBLANK('Committed Cost'!P29), "", 'Committed Cost'!P29)</f>
        <v>0</v>
      </c>
      <c r="L32" s="37">
        <f>IFERROR(IF(ISBLANK(F32), "", K32/F32), 0)</f>
        <v>0</v>
      </c>
      <c r="M32" s="43">
        <f>IF(F32="", "", F32-K32)</f>
        <v>0</v>
      </c>
      <c r="N32" s="43">
        <f>IF(ISBLANK(Accrual!P29), "", Accrual!P29)</f>
        <v>0</v>
      </c>
      <c r="O32" s="43">
        <f>IF(ISBLANK('Cash Flow'!P29), "",'Cash Flow'!P29)</f>
        <v>0</v>
      </c>
      <c r="P32" s="37">
        <f>IFERROR(IF(O32="", "", O32/K32), 0)</f>
        <v>0</v>
      </c>
      <c r="Q32" s="44">
        <f>IF(K32="", "", K32-O32)</f>
        <v>0</v>
      </c>
    </row>
    <row r="33" spans="1:18" customHeight="1" ht="12.75" hidden="true">
      <c r="A33" s="18" t="s">
        <v>71</v>
      </c>
      <c r="B33" s="4" t="s">
        <v>72</v>
      </c>
      <c r="C33" s="43">
        <v>0</v>
      </c>
      <c r="D33" s="43">
        <v>0</v>
      </c>
      <c r="E33" s="43">
        <v>0</v>
      </c>
      <c r="F33" s="43">
        <f>D33+E33</f>
        <v>0</v>
      </c>
      <c r="G33" s="43">
        <v>0</v>
      </c>
      <c r="H33" s="43">
        <v>0</v>
      </c>
      <c r="I33" s="43">
        <f>IF(H33="", "", J33-H33)</f>
        <v>0</v>
      </c>
      <c r="J33" s="43">
        <f>IF(ISBLANK(Projection!P30), "", Projection!P30)</f>
        <v>0</v>
      </c>
      <c r="K33" s="43">
        <f>IF(ISBLANK('Committed Cost'!P30), "", 'Committed Cost'!P30)</f>
        <v>0</v>
      </c>
      <c r="L33" s="37">
        <f>IFERROR(IF(ISBLANK(F33), "", K33/F33), 0)</f>
        <v>0</v>
      </c>
      <c r="M33" s="43">
        <f>IF(F33="", "", F33-K33)</f>
        <v>0</v>
      </c>
      <c r="N33" s="43">
        <f>IF(ISBLANK(Accrual!P30), "", Accrual!P30)</f>
        <v>0</v>
      </c>
      <c r="O33" s="43">
        <f>IF(ISBLANK('Cash Flow'!P30), "",'Cash Flow'!P30)</f>
        <v>0</v>
      </c>
      <c r="P33" s="37">
        <f>IFERROR(IF(O33="", "", O33/K33), 0)</f>
        <v>0</v>
      </c>
      <c r="Q33" s="44">
        <f>IF(K33="", "", K33-O33)</f>
        <v>0</v>
      </c>
    </row>
    <row r="34" spans="1:18" customHeight="1" ht="12.75" hidden="true">
      <c r="A34" s="18">
        <v>1.13</v>
      </c>
      <c r="B34" s="4" t="s">
        <v>73</v>
      </c>
      <c r="C34" s="43">
        <v>0</v>
      </c>
      <c r="D34" s="43">
        <v>0</v>
      </c>
      <c r="E34" s="43">
        <v>0</v>
      </c>
      <c r="F34" s="43">
        <f>D34+E34</f>
        <v>0</v>
      </c>
      <c r="G34" s="43">
        <v>0</v>
      </c>
      <c r="H34" s="43">
        <v>0</v>
      </c>
      <c r="I34" s="43">
        <f>IF(H34="", "", J34-H34)</f>
        <v>0</v>
      </c>
      <c r="J34" s="43">
        <f>IF(ISBLANK(Projection!P31), "", Projection!P31)</f>
        <v>0</v>
      </c>
      <c r="K34" s="43">
        <f>IF(ISBLANK('Committed Cost'!P31), "", 'Committed Cost'!P31)</f>
        <v>0</v>
      </c>
      <c r="L34" s="37">
        <f>IFERROR(IF(ISBLANK(F34), "", K34/F34), 0)</f>
        <v>0</v>
      </c>
      <c r="M34" s="43">
        <f>IF(F34="", "", F34-K34)</f>
        <v>0</v>
      </c>
      <c r="N34" s="43">
        <f>IF(ISBLANK(Accrual!P31), "", Accrual!P31)</f>
        <v>0</v>
      </c>
      <c r="O34" s="43">
        <f>IF(ISBLANK('Cash Flow'!P31), "",'Cash Flow'!P31)</f>
        <v>0</v>
      </c>
      <c r="P34" s="37">
        <f>IFERROR(IF(O34="", "", O34/K34), 0)</f>
        <v>0</v>
      </c>
      <c r="Q34" s="44">
        <f>IF(K34="", "", K34-O34)</f>
        <v>0</v>
      </c>
    </row>
    <row r="35" spans="1:18" customHeight="1" ht="12.75">
      <c r="A35" s="18">
        <v>1.14</v>
      </c>
      <c r="B35" s="4" t="s">
        <v>74</v>
      </c>
      <c r="C35" s="43">
        <v>0</v>
      </c>
      <c r="D35" s="43">
        <v>0</v>
      </c>
      <c r="E35" s="43">
        <v>0</v>
      </c>
      <c r="F35" s="43">
        <f>D35+E35</f>
        <v>0</v>
      </c>
      <c r="G35" s="43">
        <v>0</v>
      </c>
      <c r="H35" s="43">
        <v>0</v>
      </c>
      <c r="I35" s="43">
        <f>IF(H35="", "", J35-H35)</f>
        <v>0</v>
      </c>
      <c r="J35" s="43">
        <f>IF(ISBLANK(Projection!P32), "", Projection!P32)</f>
        <v>0</v>
      </c>
      <c r="K35" s="43">
        <f>IF(ISBLANK('Committed Cost'!P32), "", 'Committed Cost'!P32)</f>
        <v>0</v>
      </c>
      <c r="L35" s="37">
        <f>IFERROR(IF(ISBLANK(F35), "", K35/F35), 0)</f>
        <v>0</v>
      </c>
      <c r="M35" s="43">
        <f>IF(F35="", "", F35-K35)</f>
        <v>0</v>
      </c>
      <c r="N35" s="43">
        <f>IF(ISBLANK(Accrual!P32), "", Accrual!P32)</f>
        <v>0</v>
      </c>
      <c r="O35" s="43">
        <f>IF(ISBLANK('Cash Flow'!P32), "",'Cash Flow'!P32)</f>
        <v>-5769.97768</v>
      </c>
      <c r="P35" s="37">
        <f>IFERROR(IF(O35="", "", O35/K35), 0)</f>
        <v>0</v>
      </c>
      <c r="Q35" s="44">
        <f>IF(K35="", "", K35-O35)</f>
        <v>5769.97768</v>
      </c>
    </row>
    <row r="36" spans="1:18" customHeight="1" ht="12.75" hidden="true">
      <c r="A36" s="18">
        <v>1.15</v>
      </c>
      <c r="B36" s="4" t="s">
        <v>75</v>
      </c>
      <c r="C36" s="43">
        <v>0</v>
      </c>
      <c r="D36" s="43">
        <v>0</v>
      </c>
      <c r="E36" s="43">
        <v>0</v>
      </c>
      <c r="F36" s="43">
        <f>D36+E36</f>
        <v>0</v>
      </c>
      <c r="G36" s="43">
        <v>0</v>
      </c>
      <c r="H36" s="43">
        <v>0</v>
      </c>
      <c r="I36" s="43">
        <f>IF(H36="", "", J36-H36)</f>
        <v>0</v>
      </c>
      <c r="J36" s="43">
        <f>IF(ISBLANK(Projection!P33), "", Projection!P33)</f>
        <v>0</v>
      </c>
      <c r="K36" s="43">
        <f>IF(ISBLANK('Committed Cost'!P33), "", 'Committed Cost'!P33)</f>
        <v>0</v>
      </c>
      <c r="L36" s="37">
        <f>IFERROR(IF(ISBLANK(F36), "", K36/F36), 0)</f>
        <v>0</v>
      </c>
      <c r="M36" s="43">
        <f>IF(F36="", "", F36-K36)</f>
        <v>0</v>
      </c>
      <c r="N36" s="43">
        <f>IF(ISBLANK(Accrual!P33), "", Accrual!P33)</f>
        <v>0</v>
      </c>
      <c r="O36" s="43">
        <f>IF(ISBLANK('Cash Flow'!P33), "",'Cash Flow'!P33)</f>
        <v>0</v>
      </c>
      <c r="P36" s="37">
        <f>IFERROR(IF(O36="", "", O36/K36), 0)</f>
        <v>0</v>
      </c>
      <c r="Q36" s="44">
        <f>IF(K36="", "", K36-O36)</f>
        <v>0</v>
      </c>
    </row>
    <row r="37" spans="1:18" customHeight="1" ht="12.75" hidden="true">
      <c r="A37" s="18">
        <v>1.16</v>
      </c>
      <c r="B37" s="4" t="s">
        <v>76</v>
      </c>
      <c r="C37" s="43">
        <v>0</v>
      </c>
      <c r="D37" s="43">
        <v>0</v>
      </c>
      <c r="E37" s="43">
        <v>0</v>
      </c>
      <c r="F37" s="43">
        <f>D37+E37</f>
        <v>0</v>
      </c>
      <c r="G37" s="43">
        <v>0</v>
      </c>
      <c r="H37" s="43">
        <v>0</v>
      </c>
      <c r="I37" s="43">
        <f>IF(H37="", "", J37-H37)</f>
        <v>0</v>
      </c>
      <c r="J37" s="43">
        <f>IF(ISBLANK(Projection!P34), "", Projection!P34)</f>
        <v>0</v>
      </c>
      <c r="K37" s="43">
        <f>IF(ISBLANK('Committed Cost'!P34), "", 'Committed Cost'!P34)</f>
        <v>0</v>
      </c>
      <c r="L37" s="37">
        <f>IFERROR(IF(ISBLANK(F37), "", K37/F37), 0)</f>
        <v>0</v>
      </c>
      <c r="M37" s="43">
        <f>IF(F37="", "", F37-K37)</f>
        <v>0</v>
      </c>
      <c r="N37" s="43">
        <f>IF(ISBLANK(Accrual!P34), "", Accrual!P34)</f>
        <v>0</v>
      </c>
      <c r="O37" s="43">
        <f>IF(ISBLANK('Cash Flow'!P34), "",'Cash Flow'!P34)</f>
        <v>0</v>
      </c>
      <c r="P37" s="37">
        <f>IFERROR(IF(O37="", "", O37/K37), 0)</f>
        <v>0</v>
      </c>
      <c r="Q37" s="44">
        <f>IF(K37="", "", K37-O37)</f>
        <v>0</v>
      </c>
    </row>
    <row r="38" spans="1:18" customHeight="1" ht="12.75" hidden="true">
      <c r="A38" s="19">
        <v>1.17</v>
      </c>
      <c r="B38" s="5" t="s">
        <v>77</v>
      </c>
      <c r="C38" s="45">
        <v>0</v>
      </c>
      <c r="D38" s="45">
        <v>0</v>
      </c>
      <c r="E38" s="45">
        <v>0</v>
      </c>
      <c r="F38" s="45">
        <v>0</v>
      </c>
      <c r="G38" s="45">
        <v>0</v>
      </c>
      <c r="H38" s="45">
        <v>0</v>
      </c>
      <c r="I38" s="45">
        <f>IF(H38="", "", J38-H38)</f>
        <v>0</v>
      </c>
      <c r="J38" s="45">
        <f>IF(ISBLANK(Projection!P35), "", Projection!P35)</f>
        <v>0</v>
      </c>
      <c r="K38" s="45">
        <f>IF(ISBLANK('Committed Cost'!P35), "", 'Committed Cost'!P35)</f>
        <v>0</v>
      </c>
      <c r="L38" s="38">
        <f>IFERROR(IF(ISBLANK(F38), "", K38/F38), 0)</f>
        <v>0</v>
      </c>
      <c r="M38" s="45">
        <f>IF(F38="", "", F38-K38)</f>
        <v>0</v>
      </c>
      <c r="N38" s="45">
        <f>IF(ISBLANK(Accrual!P35), "", Accrual!P35)</f>
        <v>0</v>
      </c>
      <c r="O38" s="45">
        <f>IF(ISBLANK('Cash Flow'!P35), "",'Cash Flow'!P35)</f>
        <v>0</v>
      </c>
      <c r="P38" s="38">
        <f>IFERROR(IF(O38="", "", O38/K38), 0)</f>
        <v>0</v>
      </c>
      <c r="Q38" s="46">
        <f>IF(K38="", "", K38-O38)</f>
        <v>0</v>
      </c>
    </row>
    <row r="39" spans="1:18" customHeight="1" ht="12.75">
      <c r="A39" s="20"/>
      <c r="B39" s="15" t="s">
        <v>78</v>
      </c>
      <c r="C39" s="47">
        <f>SUM(C15:C38)</f>
        <v>502235.41</v>
      </c>
      <c r="D39" s="47">
        <f>SUM(D15:D38)</f>
        <v>511816.61</v>
      </c>
      <c r="E39" s="47">
        <f>SUM(E15:E38)</f>
        <v>0</v>
      </c>
      <c r="F39" s="47">
        <f>SUM(F15:F38)</f>
        <v>511816.61</v>
      </c>
      <c r="G39" s="47">
        <f>SUM(G15:G38)</f>
        <v>1210490.4</v>
      </c>
      <c r="H39" s="47">
        <f>SUM(H15:H38)</f>
        <v>1210490.4</v>
      </c>
      <c r="I39" s="47">
        <f>IF(H39="", "", J39-H39)</f>
        <v>-0.28700000001118</v>
      </c>
      <c r="J39" s="47">
        <f>IF(ISBLANK(Projection!P36), "", Projection!P36)</f>
        <v>1210490.113</v>
      </c>
      <c r="K39" s="47">
        <f>IF(ISBLANK('Committed Cost'!P36), "", 'Committed Cost'!P36)</f>
        <v>1080125.32592</v>
      </c>
      <c r="L39" s="39">
        <f>IFERROR(IF(ISBLANK(F39), "", K39/F39), 0)</f>
        <v>2.1103756791324</v>
      </c>
      <c r="M39" s="47">
        <f>IF(F39="", "", F39-K39)</f>
        <v>-568308.71592</v>
      </c>
      <c r="N39" s="47">
        <f>IF(ISBLANK(Accrual!P36), "", Accrual!P36)</f>
        <v>1080124.9094</v>
      </c>
      <c r="O39" s="47">
        <f>IF(ISBLANK('Cash Flow'!P36), "",'Cash Flow'!P36)</f>
        <v>1057306.93724</v>
      </c>
      <c r="P39" s="39">
        <f>IFERROR(IF(O39="", "", O39/K39), 0)</f>
        <v>0.97887431381116</v>
      </c>
      <c r="Q39" s="48">
        <f>IF(K39="", "", K39-O39)</f>
        <v>22818.38868</v>
      </c>
    </row>
    <row r="40" spans="1:18" customHeight="1" ht="12.75">
      <c r="A40" s="18"/>
      <c r="B40" s="4"/>
      <c r="C40" s="43"/>
      <c r="D40" s="43"/>
      <c r="E40" s="43"/>
      <c r="F40" s="43"/>
      <c r="G40" s="43"/>
      <c r="H40" s="43"/>
      <c r="I40" s="43" t="str">
        <f>IF(H40="", "", J40-H40)</f>
        <v/>
      </c>
      <c r="J40" s="43" t="str">
        <f>IF(ISBLANK(Projection!P37), "", Projection!P37)</f>
        <v/>
      </c>
      <c r="K40" s="43" t="str">
        <f>IF(ISBLANK('Committed Cost'!P37), "", 'Committed Cost'!P37)</f>
        <v/>
      </c>
      <c r="L40" s="37" t="str">
        <f>IFERROR(IF(ISBLANK(F40), "", K40/F40), 0)</f>
        <v/>
      </c>
      <c r="M40" s="43" t="str">
        <f>IF(F40="", "", F40-K40)</f>
        <v/>
      </c>
      <c r="N40" s="43" t="str">
        <f>IF(ISBLANK(Accrual!P37), "", Accrual!P37)</f>
        <v/>
      </c>
      <c r="O40" s="43" t="str">
        <f>IF(ISBLANK('Cash Flow'!P37), "",'Cash Flow'!P37)</f>
        <v/>
      </c>
      <c r="P40" s="37" t="str">
        <f>IFERROR(IF(O40="", "", O40/K40), 0)</f>
        <v/>
      </c>
      <c r="Q40" s="44" t="str">
        <f>IF(K40="", "", K40-O40)</f>
        <v/>
      </c>
    </row>
    <row r="41" spans="1:18" customHeight="1" ht="12.75">
      <c r="A41" s="18">
        <v>2.0</v>
      </c>
      <c r="B41" s="4" t="s">
        <v>79</v>
      </c>
      <c r="C41" s="43"/>
      <c r="D41" s="43"/>
      <c r="E41" s="43"/>
      <c r="F41" s="43"/>
      <c r="G41" s="43"/>
      <c r="H41" s="43"/>
      <c r="I41" s="43" t="str">
        <f>IF(H41="", "", J41-H41)</f>
        <v/>
      </c>
      <c r="J41" s="43" t="str">
        <f>IF(ISBLANK(Projection!P38), "", Projection!P38)</f>
        <v/>
      </c>
      <c r="K41" s="43" t="str">
        <f>IF(ISBLANK('Committed Cost'!P38), "", 'Committed Cost'!P38)</f>
        <v/>
      </c>
      <c r="L41" s="37" t="str">
        <f>IFERROR(IF(ISBLANK(F41), "", K41/F41), 0)</f>
        <v/>
      </c>
      <c r="M41" s="43" t="str">
        <f>IF(F41="", "", F41-K41)</f>
        <v/>
      </c>
      <c r="N41" s="43" t="str">
        <f>IF(ISBLANK(Accrual!P38), "", Accrual!P38)</f>
        <v/>
      </c>
      <c r="O41" s="43" t="str">
        <f>IF(ISBLANK('Cash Flow'!P38), "",'Cash Flow'!P38)</f>
        <v/>
      </c>
      <c r="P41" s="37" t="str">
        <f>IFERROR(IF(O41="", "", O41/K41), 0)</f>
        <v/>
      </c>
      <c r="Q41" s="44" t="str">
        <f>IF(K41="", "", K41-O41)</f>
        <v/>
      </c>
    </row>
    <row r="42" spans="1:18" customHeight="1" ht="12.75">
      <c r="A42" s="18">
        <v>2.1</v>
      </c>
      <c r="B42" s="4" t="s">
        <v>80</v>
      </c>
      <c r="C42" s="43"/>
      <c r="D42" s="43"/>
      <c r="E42" s="43"/>
      <c r="F42" s="43"/>
      <c r="G42" s="43"/>
      <c r="H42" s="43"/>
      <c r="I42" s="43" t="str">
        <f>IF(H42="", "", J42-H42)</f>
        <v/>
      </c>
      <c r="J42" s="43" t="str">
        <f>IF(ISBLANK(Projection!P39), "", Projection!P39)</f>
        <v/>
      </c>
      <c r="K42" s="43" t="str">
        <f>IF(ISBLANK('Committed Cost'!P39), "", 'Committed Cost'!P39)</f>
        <v/>
      </c>
      <c r="L42" s="37" t="str">
        <f>IFERROR(IF(ISBLANK(F42), "", K42/F42), 0)</f>
        <v/>
      </c>
      <c r="M42" s="43" t="str">
        <f>IF(F42="", "", F42-K42)</f>
        <v/>
      </c>
      <c r="N42" s="43" t="str">
        <f>IF(ISBLANK(Accrual!P39), "", Accrual!P39)</f>
        <v/>
      </c>
      <c r="O42" s="43" t="str">
        <f>IF(ISBLANK('Cash Flow'!P39), "",'Cash Flow'!P39)</f>
        <v/>
      </c>
      <c r="P42" s="37" t="str">
        <f>IFERROR(IF(O42="", "", O42/K42), 0)</f>
        <v/>
      </c>
      <c r="Q42" s="44" t="str">
        <f>IF(K42="", "", K42-O42)</f>
        <v/>
      </c>
    </row>
    <row r="43" spans="1:18" customHeight="1" ht="12.75">
      <c r="A43" s="18" t="s">
        <v>81</v>
      </c>
      <c r="B43" s="4" t="s">
        <v>82</v>
      </c>
      <c r="C43" s="43">
        <v>20862.997</v>
      </c>
      <c r="D43" s="43">
        <v>22485.964</v>
      </c>
      <c r="E43" s="43">
        <v>0.0</v>
      </c>
      <c r="F43" s="43">
        <f>D43+E43</f>
        <v>22485.964</v>
      </c>
      <c r="G43" s="43">
        <v>99672</v>
      </c>
      <c r="H43" s="43">
        <v>99672</v>
      </c>
      <c r="I43" s="43">
        <f>IF(H43="", "", J43-H43)</f>
        <v>-0.49599999999919</v>
      </c>
      <c r="J43" s="43">
        <f>IF(ISBLANK(Projection!P40), "", Projection!P40)</f>
        <v>99671.504</v>
      </c>
      <c r="K43" s="43">
        <f>IF(ISBLANK('Committed Cost'!P40), "", 'Committed Cost'!P40)</f>
        <v>97673.62226</v>
      </c>
      <c r="L43" s="37">
        <f>IFERROR(IF(ISBLANK(F43), "", K43/F43), 0)</f>
        <v>4.3437596119962</v>
      </c>
      <c r="M43" s="43">
        <f>IF(F43="", "", F43-K43)</f>
        <v>-75187.65826</v>
      </c>
      <c r="N43" s="43">
        <f>IF(ISBLANK(Accrual!P40), "", Accrual!P40)</f>
        <v>97673.49226</v>
      </c>
      <c r="O43" s="43">
        <f>IF(ISBLANK('Cash Flow'!P40), "",'Cash Flow'!P40)</f>
        <v>97673.49226</v>
      </c>
      <c r="P43" s="37">
        <f>IFERROR(IF(O43="", "", O43/K43), 0)</f>
        <v>0.99999866903677</v>
      </c>
      <c r="Q43" s="44">
        <f>IF(K43="", "", K43-O43)</f>
        <v>0.13000000000466</v>
      </c>
    </row>
    <row r="44" spans="1:18" customHeight="1" ht="12.75">
      <c r="A44" s="18" t="s">
        <v>83</v>
      </c>
      <c r="B44" s="4" t="s">
        <v>84</v>
      </c>
      <c r="C44" s="43">
        <v>0.0</v>
      </c>
      <c r="D44" s="43">
        <v>0.0</v>
      </c>
      <c r="E44" s="43">
        <v>0.0</v>
      </c>
      <c r="F44" s="43">
        <f>D44+E44</f>
        <v>0</v>
      </c>
      <c r="G44" s="43">
        <v>449</v>
      </c>
      <c r="H44" s="43">
        <v>449</v>
      </c>
      <c r="I44" s="43">
        <f>IF(H44="", "", J44-H44)</f>
        <v>2090</v>
      </c>
      <c r="J44" s="43">
        <f>IF(ISBLANK(Projection!P41), "", Projection!P41)</f>
        <v>2539</v>
      </c>
      <c r="K44" s="43">
        <f>IF(ISBLANK('Committed Cost'!P41), "", 'Committed Cost'!P41)</f>
        <v>2538.64248</v>
      </c>
      <c r="L44" s="37">
        <f>IFERROR(IF(ISBLANK(F44), "", K44/F44), 0)</f>
        <v>0</v>
      </c>
      <c r="M44" s="43">
        <f>IF(F44="", "", F44-K44)</f>
        <v>-2538.64248</v>
      </c>
      <c r="N44" s="43">
        <f>IF(ISBLANK(Accrual!P41), "", Accrual!P41)</f>
        <v>2538.64248</v>
      </c>
      <c r="O44" s="43">
        <f>IF(ISBLANK('Cash Flow'!P41), "",'Cash Flow'!P41)</f>
        <v>2538.96248</v>
      </c>
      <c r="P44" s="37">
        <f>IFERROR(IF(O44="", "", O44/K44), 0)</f>
        <v>1.0001260516211</v>
      </c>
      <c r="Q44" s="44">
        <f>IF(K44="", "", K44-O44)</f>
        <v>-0.32000000000062</v>
      </c>
    </row>
    <row r="45" spans="1:18" customHeight="1" ht="12.75">
      <c r="A45" s="18" t="s">
        <v>85</v>
      </c>
      <c r="B45" s="4" t="s">
        <v>86</v>
      </c>
      <c r="C45" s="43">
        <v>0.0</v>
      </c>
      <c r="D45" s="43">
        <v>0.0</v>
      </c>
      <c r="E45" s="43">
        <v>0.0</v>
      </c>
      <c r="F45" s="43">
        <f>D45+E45</f>
        <v>0</v>
      </c>
      <c r="G45" s="43">
        <v>1921</v>
      </c>
      <c r="H45" s="43">
        <v>1921</v>
      </c>
      <c r="I45" s="43">
        <f>IF(H45="", "", J45-H45)</f>
        <v>-0.5</v>
      </c>
      <c r="J45" s="43">
        <f>IF(ISBLANK(Projection!P42), "", Projection!P42)</f>
        <v>1920.5</v>
      </c>
      <c r="K45" s="43">
        <f>IF(ISBLANK('Committed Cost'!P42), "", 'Committed Cost'!P42)</f>
        <v>1728.16206</v>
      </c>
      <c r="L45" s="37">
        <f>IFERROR(IF(ISBLANK(F45), "", K45/F45), 0)</f>
        <v>0</v>
      </c>
      <c r="M45" s="43">
        <f>IF(F45="", "", F45-K45)</f>
        <v>-1728.16206</v>
      </c>
      <c r="N45" s="43">
        <f>IF(ISBLANK(Accrual!P42), "", Accrual!P42)</f>
        <v>1728.16206</v>
      </c>
      <c r="O45" s="43">
        <f>IF(ISBLANK('Cash Flow'!P42), "",'Cash Flow'!P42)</f>
        <v>1728.16206</v>
      </c>
      <c r="P45" s="37">
        <f>IFERROR(IF(O45="", "", O45/K45), 0)</f>
        <v>1</v>
      </c>
      <c r="Q45" s="44">
        <f>IF(K45="", "", K45-O45)</f>
        <v>0</v>
      </c>
    </row>
    <row r="46" spans="1:18" customHeight="1" ht="12.75">
      <c r="A46" s="18" t="s">
        <v>87</v>
      </c>
      <c r="B46" s="4" t="s">
        <v>88</v>
      </c>
      <c r="C46" s="43">
        <v>16115.684</v>
      </c>
      <c r="D46" s="43">
        <v>16115.684</v>
      </c>
      <c r="E46" s="43">
        <v>0.0</v>
      </c>
      <c r="F46" s="43">
        <f>D46+E46</f>
        <v>16115.684</v>
      </c>
      <c r="G46" s="43">
        <v>128764</v>
      </c>
      <c r="H46" s="43">
        <v>30445</v>
      </c>
      <c r="I46" s="43">
        <f>IF(H46="", "", J46-H46)</f>
        <v>7473.188</v>
      </c>
      <c r="J46" s="43">
        <f>IF(ISBLANK(Projection!P43), "", Projection!P43)</f>
        <v>37918.188</v>
      </c>
      <c r="K46" s="43">
        <f>IF(ISBLANK('Committed Cost'!P43), "", 'Committed Cost'!P43)</f>
        <v>28565.27419</v>
      </c>
      <c r="L46" s="37">
        <f>IFERROR(IF(ISBLANK(F46), "", K46/F46), 0)</f>
        <v>1.7725139181185</v>
      </c>
      <c r="M46" s="43">
        <f>IF(F46="", "", F46-K46)</f>
        <v>-12449.59019</v>
      </c>
      <c r="N46" s="43">
        <f>IF(ISBLANK(Accrual!P43), "", Accrual!P43)</f>
        <v>28565.27782</v>
      </c>
      <c r="O46" s="43">
        <f>IF(ISBLANK('Cash Flow'!P43), "",'Cash Flow'!P43)</f>
        <v>28565.43776</v>
      </c>
      <c r="P46" s="37">
        <f>IFERROR(IF(O46="", "", O46/K46), 0)</f>
        <v>1.0000057261834</v>
      </c>
      <c r="Q46" s="44">
        <f>IF(K46="", "", K46-O46)</f>
        <v>-0.1635699999897</v>
      </c>
    </row>
    <row r="47" spans="1:18" customHeight="1" ht="12.75">
      <c r="A47" s="18" t="s">
        <v>89</v>
      </c>
      <c r="B47" s="4" t="s">
        <v>90</v>
      </c>
      <c r="C47" s="43">
        <v>10565.4</v>
      </c>
      <c r="D47" s="43">
        <v>10565.4</v>
      </c>
      <c r="E47" s="43">
        <v>0.0</v>
      </c>
      <c r="F47" s="43">
        <f>D47+E47</f>
        <v>10565.4</v>
      </c>
      <c r="G47" s="43">
        <v>19684</v>
      </c>
      <c r="H47" s="43">
        <v>19684</v>
      </c>
      <c r="I47" s="43">
        <f>IF(H47="", "", J47-H47)</f>
        <v>-99.548000000003</v>
      </c>
      <c r="J47" s="43">
        <f>IF(ISBLANK(Projection!P44), "", Projection!P44)</f>
        <v>19584.452</v>
      </c>
      <c r="K47" s="43">
        <f>IF(ISBLANK('Committed Cost'!P44), "", 'Committed Cost'!P44)</f>
        <v>17383.12695</v>
      </c>
      <c r="L47" s="37">
        <f>IFERROR(IF(ISBLANK(F47), "", K47/F47), 0)</f>
        <v>1.6452881055142</v>
      </c>
      <c r="M47" s="43">
        <f>IF(F47="", "", F47-K47)</f>
        <v>-6817.72695</v>
      </c>
      <c r="N47" s="43">
        <f>IF(ISBLANK(Accrual!P44), "", Accrual!P44)</f>
        <v>17383.12695</v>
      </c>
      <c r="O47" s="43">
        <f>IF(ISBLANK('Cash Flow'!P44), "",'Cash Flow'!P44)</f>
        <v>17383.12695</v>
      </c>
      <c r="P47" s="37">
        <f>IFERROR(IF(O47="", "", O47/K47), 0)</f>
        <v>1</v>
      </c>
      <c r="Q47" s="44">
        <f>IF(K47="", "", K47-O47)</f>
        <v>7.2759576141834E-12</v>
      </c>
    </row>
    <row r="48" spans="1:18" customHeight="1" ht="12.75">
      <c r="A48" s="18" t="s">
        <v>91</v>
      </c>
      <c r="B48" s="4" t="s">
        <v>92</v>
      </c>
      <c r="C48" s="43">
        <v>17267.164</v>
      </c>
      <c r="D48" s="43">
        <v>17517.164</v>
      </c>
      <c r="E48" s="43">
        <v>0.0</v>
      </c>
      <c r="F48" s="43">
        <f>D48+E48</f>
        <v>17517.164</v>
      </c>
      <c r="G48" s="43">
        <v>74088</v>
      </c>
      <c r="H48" s="43">
        <v>74088</v>
      </c>
      <c r="I48" s="43">
        <f>IF(H48="", "", J48-H48)</f>
        <v>7647.578</v>
      </c>
      <c r="J48" s="43">
        <f>IF(ISBLANK(Projection!P45), "", Projection!P45)</f>
        <v>81735.578</v>
      </c>
      <c r="K48" s="43">
        <f>IF(ISBLANK('Committed Cost'!P45), "", 'Committed Cost'!P45)</f>
        <v>81334.03375</v>
      </c>
      <c r="L48" s="37">
        <f>IFERROR(IF(ISBLANK(F48), "", K48/F48), 0)</f>
        <v>4.6431051139328</v>
      </c>
      <c r="M48" s="43">
        <f>IF(F48="", "", F48-K48)</f>
        <v>-63816.86975</v>
      </c>
      <c r="N48" s="43">
        <f>IF(ISBLANK(Accrual!P45), "", Accrual!P45)</f>
        <v>79328.14517</v>
      </c>
      <c r="O48" s="43">
        <f>IF(ISBLANK('Cash Flow'!P45), "",'Cash Flow'!P45)</f>
        <v>73707.33006</v>
      </c>
      <c r="P48" s="37">
        <f>IFERROR(IF(O48="", "", O48/K48), 0)</f>
        <v>0.90622986051027</v>
      </c>
      <c r="Q48" s="44">
        <f>IF(K48="", "", K48-O48)</f>
        <v>7626.70369</v>
      </c>
    </row>
    <row r="49" spans="1:18" customHeight="1" ht="12.75" hidden="true">
      <c r="A49" s="18" t="s">
        <v>93</v>
      </c>
      <c r="B49" s="4" t="s">
        <v>94</v>
      </c>
      <c r="C49" s="43">
        <v>0.0</v>
      </c>
      <c r="D49" s="43">
        <v>0.0</v>
      </c>
      <c r="E49" s="43">
        <v>0.0</v>
      </c>
      <c r="F49" s="43">
        <f>D49+E49</f>
        <v>0</v>
      </c>
      <c r="G49" s="43">
        <v>0</v>
      </c>
      <c r="H49" s="43">
        <v>0</v>
      </c>
      <c r="I49" s="43">
        <f>IF(H49="", "", J49-H49)</f>
        <v>0</v>
      </c>
      <c r="J49" s="43">
        <f>IF(ISBLANK(Projection!P46), "", Projection!P46)</f>
        <v>0</v>
      </c>
      <c r="K49" s="43">
        <f>IF(ISBLANK('Committed Cost'!P46), "", 'Committed Cost'!P46)</f>
        <v>0</v>
      </c>
      <c r="L49" s="37">
        <f>IFERROR(IF(ISBLANK(F49), "", K49/F49), 0)</f>
        <v>0</v>
      </c>
      <c r="M49" s="43">
        <f>IF(F49="", "", F49-K49)</f>
        <v>0</v>
      </c>
      <c r="N49" s="43">
        <f>IF(ISBLANK(Accrual!P46), "", Accrual!P46)</f>
        <v>0</v>
      </c>
      <c r="O49" s="43">
        <f>IF(ISBLANK('Cash Flow'!P46), "",'Cash Flow'!P46)</f>
        <v>0</v>
      </c>
      <c r="P49" s="37">
        <f>IFERROR(IF(O49="", "", O49/K49), 0)</f>
        <v>0</v>
      </c>
      <c r="Q49" s="44">
        <f>IF(K49="", "", K49-O49)</f>
        <v>0</v>
      </c>
    </row>
    <row r="50" spans="1:18" customHeight="1" ht="12.75">
      <c r="A50" s="18" t="s">
        <v>95</v>
      </c>
      <c r="B50" s="4" t="s">
        <v>96</v>
      </c>
      <c r="C50" s="43">
        <v>0.0</v>
      </c>
      <c r="D50" s="43">
        <v>0.0</v>
      </c>
      <c r="E50" s="43">
        <v>0.0</v>
      </c>
      <c r="F50" s="43">
        <f>D50+E50</f>
        <v>0</v>
      </c>
      <c r="G50" s="43">
        <v>623</v>
      </c>
      <c r="H50" s="43">
        <v>623</v>
      </c>
      <c r="I50" s="43">
        <f>IF(H50="", "", J50-H50)</f>
        <v>-0.30600000000004</v>
      </c>
      <c r="J50" s="43">
        <f>IF(ISBLANK(Projection!P47), "", Projection!P47)</f>
        <v>622.694</v>
      </c>
      <c r="K50" s="43">
        <f>IF(ISBLANK('Committed Cost'!P47), "", 'Committed Cost'!P47)</f>
        <v>585.9739</v>
      </c>
      <c r="L50" s="37">
        <f>IFERROR(IF(ISBLANK(F50), "", K50/F50), 0)</f>
        <v>0</v>
      </c>
      <c r="M50" s="43">
        <f>IF(F50="", "", F50-K50)</f>
        <v>-585.9739</v>
      </c>
      <c r="N50" s="43">
        <f>IF(ISBLANK(Accrual!P47), "", Accrual!P47)</f>
        <v>489.9739</v>
      </c>
      <c r="O50" s="43">
        <f>IF(ISBLANK('Cash Flow'!P47), "",'Cash Flow'!P47)</f>
        <v>448.0779</v>
      </c>
      <c r="P50" s="37">
        <f>IFERROR(IF(O50="", "", O50/K50), 0)</f>
        <v>0.76467211252924</v>
      </c>
      <c r="Q50" s="44">
        <f>IF(K50="", "", K50-O50)</f>
        <v>137.896</v>
      </c>
    </row>
    <row r="51" spans="1:18" customHeight="1" ht="12.75">
      <c r="A51" s="18" t="s">
        <v>97</v>
      </c>
      <c r="B51" s="4" t="s">
        <v>98</v>
      </c>
      <c r="C51" s="43">
        <v>21333.2479</v>
      </c>
      <c r="D51" s="43">
        <v>21333.2479</v>
      </c>
      <c r="E51" s="43">
        <v>0.0</v>
      </c>
      <c r="F51" s="43">
        <f>D51+E51</f>
        <v>21333.2479</v>
      </c>
      <c r="G51" s="43">
        <v>37686.8</v>
      </c>
      <c r="H51" s="43">
        <v>37686.8</v>
      </c>
      <c r="I51" s="43">
        <f>IF(H51="", "", J51-H51)</f>
        <v>10309</v>
      </c>
      <c r="J51" s="43">
        <f>IF(ISBLANK(Projection!P48), "", Projection!P48)</f>
        <v>47995.8</v>
      </c>
      <c r="K51" s="43">
        <f>IF(ISBLANK('Committed Cost'!P48), "", 'Committed Cost'!P48)</f>
        <v>47995.67557</v>
      </c>
      <c r="L51" s="37">
        <f>IFERROR(IF(ISBLANK(F51), "", K51/F51), 0)</f>
        <v>2.2498063021149</v>
      </c>
      <c r="M51" s="43">
        <f>IF(F51="", "", F51-K51)</f>
        <v>-26662.42767</v>
      </c>
      <c r="N51" s="43">
        <f>IF(ISBLANK(Accrual!P48), "", Accrual!P48)</f>
        <v>35563.79157</v>
      </c>
      <c r="O51" s="43">
        <f>IF(ISBLANK('Cash Flow'!P48), "",'Cash Flow'!P48)</f>
        <v>31949.19526</v>
      </c>
      <c r="P51" s="37">
        <f>IFERROR(IF(O51="", "", O51/K51), 0)</f>
        <v>0.66566820615752</v>
      </c>
      <c r="Q51" s="44">
        <f>IF(K51="", "", K51-O51)</f>
        <v>16046.48031</v>
      </c>
    </row>
    <row r="52" spans="1:18" customHeight="1" ht="12.75" hidden="true">
      <c r="A52" s="18" t="s">
        <v>99</v>
      </c>
      <c r="B52" s="4" t="s">
        <v>100</v>
      </c>
      <c r="C52" s="43">
        <v>0.0</v>
      </c>
      <c r="D52" s="43">
        <v>0.0</v>
      </c>
      <c r="E52" s="43">
        <v>0.0</v>
      </c>
      <c r="F52" s="43">
        <f>D52+E52</f>
        <v>0</v>
      </c>
      <c r="G52" s="43">
        <v>0</v>
      </c>
      <c r="H52" s="43">
        <v>0</v>
      </c>
      <c r="I52" s="43">
        <f>IF(H52="", "", J52-H52)</f>
        <v>0</v>
      </c>
      <c r="J52" s="43">
        <f>IF(ISBLANK(Projection!P49), "", Projection!P49)</f>
        <v>0</v>
      </c>
      <c r="K52" s="43">
        <f>IF(ISBLANK('Committed Cost'!P49), "", 'Committed Cost'!P49)</f>
        <v>0</v>
      </c>
      <c r="L52" s="37">
        <f>IFERROR(IF(ISBLANK(F52), "", K52/F52), 0)</f>
        <v>0</v>
      </c>
      <c r="M52" s="43">
        <f>IF(F52="", "", F52-K52)</f>
        <v>0</v>
      </c>
      <c r="N52" s="43">
        <f>IF(ISBLANK(Accrual!P49), "", Accrual!P49)</f>
        <v>0</v>
      </c>
      <c r="O52" s="43">
        <f>IF(ISBLANK('Cash Flow'!P49), "",'Cash Flow'!P49)</f>
        <v>0</v>
      </c>
      <c r="P52" s="37">
        <f>IFERROR(IF(O52="", "", O52/K52), 0)</f>
        <v>0</v>
      </c>
      <c r="Q52" s="44">
        <f>IF(K52="", "", K52-O52)</f>
        <v>0</v>
      </c>
    </row>
    <row r="53" spans="1:18" customHeight="1" ht="12.75">
      <c r="A53" s="18" t="s">
        <v>101</v>
      </c>
      <c r="B53" s="4" t="s">
        <v>102</v>
      </c>
      <c r="C53" s="43">
        <v>205.0</v>
      </c>
      <c r="D53" s="43">
        <v>205.0</v>
      </c>
      <c r="E53" s="43">
        <v>0.0</v>
      </c>
      <c r="F53" s="43">
        <f>D53+E53</f>
        <v>205</v>
      </c>
      <c r="G53" s="43">
        <v>13509</v>
      </c>
      <c r="H53" s="43">
        <v>13509</v>
      </c>
      <c r="I53" s="43">
        <f>IF(H53="", "", J53-H53)</f>
        <v>2108.94</v>
      </c>
      <c r="J53" s="43">
        <f>IF(ISBLANK(Projection!P50), "", Projection!P50)</f>
        <v>15617.94</v>
      </c>
      <c r="K53" s="43">
        <f>IF(ISBLANK('Committed Cost'!P50), "", 'Committed Cost'!P50)</f>
        <v>15572.61635</v>
      </c>
      <c r="L53" s="37">
        <f>IFERROR(IF(ISBLANK(F53), "", K53/F53), 0)</f>
        <v>75.963982195122</v>
      </c>
      <c r="M53" s="43">
        <f>IF(F53="", "", F53-K53)</f>
        <v>-15367.61635</v>
      </c>
      <c r="N53" s="43">
        <f>IF(ISBLANK(Accrual!P50), "", Accrual!P50)</f>
        <v>14022.49858</v>
      </c>
      <c r="O53" s="43">
        <f>IF(ISBLANK('Cash Flow'!P50), "",'Cash Flow'!P50)</f>
        <v>11212.83146</v>
      </c>
      <c r="P53" s="37">
        <f>IFERROR(IF(O53="", "", O53/K53), 0)</f>
        <v>0.72003516994111</v>
      </c>
      <c r="Q53" s="44">
        <f>IF(K53="", "", K53-O53)</f>
        <v>4359.78489</v>
      </c>
    </row>
    <row r="54" spans="1:18" customHeight="1" ht="12.75" hidden="true">
      <c r="A54" s="18" t="s">
        <v>103</v>
      </c>
      <c r="B54" s="4" t="s">
        <v>104</v>
      </c>
      <c r="C54" s="43">
        <v>0</v>
      </c>
      <c r="D54" s="43">
        <v>0</v>
      </c>
      <c r="E54" s="43">
        <v>0</v>
      </c>
      <c r="F54" s="43">
        <f>D54+E54</f>
        <v>0</v>
      </c>
      <c r="G54" s="43">
        <v>0</v>
      </c>
      <c r="H54" s="43">
        <v>0</v>
      </c>
      <c r="I54" s="43">
        <f>IF(H54="", "", J54-H54)</f>
        <v>0</v>
      </c>
      <c r="J54" s="43">
        <f>IF(ISBLANK(Projection!P51), "", Projection!P51)</f>
        <v>0</v>
      </c>
      <c r="K54" s="43">
        <f>IF(ISBLANK('Committed Cost'!P51), "", 'Committed Cost'!P51)</f>
        <v>0</v>
      </c>
      <c r="L54" s="37">
        <f>IFERROR(IF(ISBLANK(F54), "", K54/F54), 0)</f>
        <v>0</v>
      </c>
      <c r="M54" s="43">
        <f>IF(F54="", "", F54-K54)</f>
        <v>0</v>
      </c>
      <c r="N54" s="43">
        <f>IF(ISBLANK(Accrual!P51), "", Accrual!P51)</f>
        <v>0</v>
      </c>
      <c r="O54" s="43">
        <f>IF(ISBLANK('Cash Flow'!P51), "",'Cash Flow'!P51)</f>
        <v>0</v>
      </c>
      <c r="P54" s="37">
        <f>IFERROR(IF(O54="", "", O54/K54), 0)</f>
        <v>0</v>
      </c>
      <c r="Q54" s="44">
        <f>IF(K54="", "", K54-O54)</f>
        <v>0</v>
      </c>
    </row>
    <row r="55" spans="1:18" customHeight="1" ht="12.75" hidden="true">
      <c r="A55" s="18" t="s">
        <v>105</v>
      </c>
      <c r="B55" s="4" t="s">
        <v>106</v>
      </c>
      <c r="C55" s="43">
        <v>0</v>
      </c>
      <c r="D55" s="43">
        <v>0</v>
      </c>
      <c r="E55" s="43">
        <v>0</v>
      </c>
      <c r="F55" s="43">
        <f>D55+E55</f>
        <v>0</v>
      </c>
      <c r="G55" s="43">
        <v>0</v>
      </c>
      <c r="H55" s="43">
        <v>0</v>
      </c>
      <c r="I55" s="43">
        <f>IF(H55="", "", J55-H55)</f>
        <v>0</v>
      </c>
      <c r="J55" s="43">
        <f>IF(ISBLANK(Projection!P52), "", Projection!P52)</f>
        <v>0</v>
      </c>
      <c r="K55" s="43">
        <f>IF(ISBLANK('Committed Cost'!P52), "", 'Committed Cost'!P52)</f>
        <v>0</v>
      </c>
      <c r="L55" s="37">
        <f>IFERROR(IF(ISBLANK(F55), "", K55/F55), 0)</f>
        <v>0</v>
      </c>
      <c r="M55" s="43">
        <f>IF(F55="", "", F55-K55)</f>
        <v>0</v>
      </c>
      <c r="N55" s="43">
        <f>IF(ISBLANK(Accrual!P52), "", Accrual!P52)</f>
        <v>0</v>
      </c>
      <c r="O55" s="43">
        <f>IF(ISBLANK('Cash Flow'!P52), "",'Cash Flow'!P52)</f>
        <v>0</v>
      </c>
      <c r="P55" s="37">
        <f>IFERROR(IF(O55="", "", O55/K55), 0)</f>
        <v>0</v>
      </c>
      <c r="Q55" s="44">
        <f>IF(K55="", "", K55-O55)</f>
        <v>0</v>
      </c>
    </row>
    <row r="56" spans="1:18" customHeight="1" ht="12.75">
      <c r="A56" s="18">
        <v>2.2</v>
      </c>
      <c r="B56" s="4" t="s">
        <v>107</v>
      </c>
      <c r="C56" s="43"/>
      <c r="D56" s="43"/>
      <c r="E56" s="43"/>
      <c r="F56" s="43"/>
      <c r="G56" s="43"/>
      <c r="H56" s="43"/>
      <c r="I56" s="43" t="str">
        <f>IF(H56="", "", J56-H56)</f>
        <v/>
      </c>
      <c r="J56" s="43" t="str">
        <f>IF(ISBLANK(Projection!P53), "", Projection!P53)</f>
        <v/>
      </c>
      <c r="K56" s="43" t="str">
        <f>IF(ISBLANK('Committed Cost'!P53), "", 'Committed Cost'!P53)</f>
        <v/>
      </c>
      <c r="L56" s="37" t="str">
        <f>IFERROR(IF(ISBLANK(F56), "", K56/F56), 0)</f>
        <v/>
      </c>
      <c r="M56" s="43" t="str">
        <f>IF(F56="", "", F56-K56)</f>
        <v/>
      </c>
      <c r="N56" s="43" t="str">
        <f>IF(ISBLANK(Accrual!P53), "", Accrual!P53)</f>
        <v/>
      </c>
      <c r="O56" s="43" t="str">
        <f>IF(ISBLANK('Cash Flow'!P53), "",'Cash Flow'!P53)</f>
        <v/>
      </c>
      <c r="P56" s="37" t="str">
        <f>IFERROR(IF(O56="", "", O56/K56), 0)</f>
        <v/>
      </c>
      <c r="Q56" s="44" t="str">
        <f>IF(K56="", "", K56-O56)</f>
        <v/>
      </c>
    </row>
    <row r="57" spans="1:18" customHeight="1" ht="12.75">
      <c r="A57" s="18" t="s">
        <v>108</v>
      </c>
      <c r="B57" s="4" t="s">
        <v>109</v>
      </c>
      <c r="C57" s="43">
        <v>10189.96648</v>
      </c>
      <c r="D57" s="43">
        <v>10189.96648</v>
      </c>
      <c r="E57" s="43">
        <v>0.0</v>
      </c>
      <c r="F57" s="43">
        <f>D57+E57</f>
        <v>10189.96648</v>
      </c>
      <c r="G57" s="43">
        <v>14108</v>
      </c>
      <c r="H57" s="43">
        <v>14108</v>
      </c>
      <c r="I57" s="43">
        <f>IF(H57="", "", J57-H57)</f>
        <v>752.478</v>
      </c>
      <c r="J57" s="43">
        <f>IF(ISBLANK(Projection!P54), "", Projection!P54)</f>
        <v>14860.478</v>
      </c>
      <c r="K57" s="43">
        <f>IF(ISBLANK('Committed Cost'!P54), "", 'Committed Cost'!P54)</f>
        <v>13307.94</v>
      </c>
      <c r="L57" s="37">
        <f>IFERROR(IF(ISBLANK(F57), "", K57/F57), 0)</f>
        <v>1.3059846689506</v>
      </c>
      <c r="M57" s="43">
        <f>IF(F57="", "", F57-K57)</f>
        <v>-3117.97352</v>
      </c>
      <c r="N57" s="43">
        <f>IF(ISBLANK(Accrual!P54), "", Accrual!P54)</f>
        <v>13091.9525</v>
      </c>
      <c r="O57" s="43">
        <f>IF(ISBLANK('Cash Flow'!P54), "",'Cash Flow'!P54)</f>
        <v>12672.424</v>
      </c>
      <c r="P57" s="37">
        <f>IFERROR(IF(O57="", "", O57/K57), 0)</f>
        <v>0.9522453512715</v>
      </c>
      <c r="Q57" s="44">
        <f>IF(K57="", "", K57-O57)</f>
        <v>635.516</v>
      </c>
    </row>
    <row r="58" spans="1:18" customHeight="1" ht="12.75">
      <c r="A58" s="18" t="s">
        <v>110</v>
      </c>
      <c r="B58" s="4" t="s">
        <v>111</v>
      </c>
      <c r="C58" s="43">
        <v>10017.0</v>
      </c>
      <c r="D58" s="43">
        <v>10017.0</v>
      </c>
      <c r="E58" s="43">
        <v>0.0</v>
      </c>
      <c r="F58" s="43">
        <f>D58+E58</f>
        <v>10017</v>
      </c>
      <c r="G58" s="43">
        <v>10257</v>
      </c>
      <c r="H58" s="43">
        <v>10257</v>
      </c>
      <c r="I58" s="43">
        <f>IF(H58="", "", J58-H58)</f>
        <v>2935</v>
      </c>
      <c r="J58" s="43">
        <f>IF(ISBLANK(Projection!P55), "", Projection!P55)</f>
        <v>13192</v>
      </c>
      <c r="K58" s="43">
        <f>IF(ISBLANK('Committed Cost'!P55), "", 'Committed Cost'!P55)</f>
        <v>12500.7096</v>
      </c>
      <c r="L58" s="37">
        <f>IFERROR(IF(ISBLANK(F58), "", K58/F58), 0)</f>
        <v>1.2479494459419</v>
      </c>
      <c r="M58" s="43">
        <f>IF(F58="", "", F58-K58)</f>
        <v>-2483.7096</v>
      </c>
      <c r="N58" s="43">
        <f>IF(ISBLANK(Accrual!P55), "", Accrual!P55)</f>
        <v>9398.10701</v>
      </c>
      <c r="O58" s="43">
        <f>IF(ISBLANK('Cash Flow'!P55), "",'Cash Flow'!P55)</f>
        <v>8302.61147</v>
      </c>
      <c r="P58" s="37">
        <f>IFERROR(IF(O58="", "", O58/K58), 0)</f>
        <v>0.66417121392853</v>
      </c>
      <c r="Q58" s="44">
        <f>IF(K58="", "", K58-O58)</f>
        <v>4198.09813</v>
      </c>
    </row>
    <row r="59" spans="1:18" customHeight="1" ht="12.75" hidden="true">
      <c r="A59" s="18" t="s">
        <v>112</v>
      </c>
      <c r="B59" s="4" t="s">
        <v>113</v>
      </c>
      <c r="C59" s="43">
        <v>0</v>
      </c>
      <c r="D59" s="43">
        <v>0</v>
      </c>
      <c r="E59" s="43">
        <v>0</v>
      </c>
      <c r="F59" s="43">
        <f>D59+E59</f>
        <v>0</v>
      </c>
      <c r="G59" s="43">
        <v>0</v>
      </c>
      <c r="H59" s="43">
        <v>0</v>
      </c>
      <c r="I59" s="43">
        <f>IF(H59="", "", J59-H59)</f>
        <v>0</v>
      </c>
      <c r="J59" s="43">
        <f>IF(ISBLANK(Projection!P56), "", Projection!P56)</f>
        <v>0</v>
      </c>
      <c r="K59" s="43">
        <f>IF(ISBLANK('Committed Cost'!P56), "", 'Committed Cost'!P56)</f>
        <v>0</v>
      </c>
      <c r="L59" s="37">
        <f>IFERROR(IF(ISBLANK(F59), "", K59/F59), 0)</f>
        <v>0</v>
      </c>
      <c r="M59" s="43">
        <f>IF(F59="", "", F59-K59)</f>
        <v>0</v>
      </c>
      <c r="N59" s="43">
        <f>IF(ISBLANK(Accrual!P56), "", Accrual!P56)</f>
        <v>0</v>
      </c>
      <c r="O59" s="43">
        <f>IF(ISBLANK('Cash Flow'!P56), "",'Cash Flow'!P56)</f>
        <v>0</v>
      </c>
      <c r="P59" s="37">
        <f>IFERROR(IF(O59="", "", O59/K59), 0)</f>
        <v>0</v>
      </c>
      <c r="Q59" s="44">
        <f>IF(K59="", "", K59-O59)</f>
        <v>0</v>
      </c>
    </row>
    <row r="60" spans="1:18" customHeight="1" ht="12.75">
      <c r="A60" s="18" t="s">
        <v>114</v>
      </c>
      <c r="B60" s="4" t="s">
        <v>115</v>
      </c>
      <c r="C60" s="43">
        <v>0.0</v>
      </c>
      <c r="D60" s="43">
        <v>0.0</v>
      </c>
      <c r="E60" s="43">
        <v>0.0</v>
      </c>
      <c r="F60" s="43">
        <f>D60+E60</f>
        <v>0</v>
      </c>
      <c r="G60" s="43">
        <v>15538</v>
      </c>
      <c r="H60" s="43">
        <v>15538</v>
      </c>
      <c r="I60" s="43">
        <f>IF(H60="", "", J60-H60)</f>
        <v>7801.55</v>
      </c>
      <c r="J60" s="43">
        <f>IF(ISBLANK(Projection!P57), "", Projection!P57)</f>
        <v>23339.55</v>
      </c>
      <c r="K60" s="43">
        <f>IF(ISBLANK('Committed Cost'!P57), "", 'Committed Cost'!P57)</f>
        <v>22559.30326</v>
      </c>
      <c r="L60" s="37">
        <f>IFERROR(IF(ISBLANK(F60), "", K60/F60), 0)</f>
        <v>0</v>
      </c>
      <c r="M60" s="43">
        <f>IF(F60="", "", F60-K60)</f>
        <v>-22559.30326</v>
      </c>
      <c r="N60" s="43">
        <f>IF(ISBLANK(Accrual!P57), "", Accrual!P57)</f>
        <v>17979.60257</v>
      </c>
      <c r="O60" s="43">
        <f>IF(ISBLANK('Cash Flow'!P57), "",'Cash Flow'!P57)</f>
        <v>17307.24847</v>
      </c>
      <c r="P60" s="37">
        <f>IFERROR(IF(O60="", "", O60/K60), 0)</f>
        <v>0.76718896282083</v>
      </c>
      <c r="Q60" s="44">
        <f>IF(K60="", "", K60-O60)</f>
        <v>5252.05479</v>
      </c>
    </row>
    <row r="61" spans="1:18" customHeight="1" ht="12.75" hidden="true">
      <c r="A61" s="18" t="s">
        <v>116</v>
      </c>
      <c r="B61" s="4" t="s">
        <v>117</v>
      </c>
      <c r="C61" s="43">
        <v>0</v>
      </c>
      <c r="D61" s="43">
        <v>0</v>
      </c>
      <c r="E61" s="43">
        <v>0</v>
      </c>
      <c r="F61" s="43">
        <f>D61+E61</f>
        <v>0</v>
      </c>
      <c r="G61" s="43">
        <v>0</v>
      </c>
      <c r="H61" s="43">
        <v>0</v>
      </c>
      <c r="I61" s="43">
        <f>IF(H61="", "", J61-H61)</f>
        <v>0</v>
      </c>
      <c r="J61" s="43">
        <f>IF(ISBLANK(Projection!P58), "", Projection!P58)</f>
        <v>0</v>
      </c>
      <c r="K61" s="43">
        <f>IF(ISBLANK('Committed Cost'!P58), "", 'Committed Cost'!P58)</f>
        <v>0</v>
      </c>
      <c r="L61" s="37">
        <f>IFERROR(IF(ISBLANK(F61), "", K61/F61), 0)</f>
        <v>0</v>
      </c>
      <c r="M61" s="43">
        <f>IF(F61="", "", F61-K61)</f>
        <v>0</v>
      </c>
      <c r="N61" s="43">
        <f>IF(ISBLANK(Accrual!P58), "", Accrual!P58)</f>
        <v>0</v>
      </c>
      <c r="O61" s="43">
        <f>IF(ISBLANK('Cash Flow'!P58), "",'Cash Flow'!P58)</f>
        <v>0</v>
      </c>
      <c r="P61" s="37">
        <f>IFERROR(IF(O61="", "", O61/K61), 0)</f>
        <v>0</v>
      </c>
      <c r="Q61" s="44">
        <f>IF(K61="", "", K61-O61)</f>
        <v>0</v>
      </c>
    </row>
    <row r="62" spans="1:18" customHeight="1" ht="12.75" hidden="true">
      <c r="A62" s="18" t="s">
        <v>118</v>
      </c>
      <c r="B62" s="4" t="s">
        <v>119</v>
      </c>
      <c r="C62" s="43">
        <v>0</v>
      </c>
      <c r="D62" s="43">
        <v>0</v>
      </c>
      <c r="E62" s="43">
        <v>0</v>
      </c>
      <c r="F62" s="43">
        <f>D62+E62</f>
        <v>0</v>
      </c>
      <c r="G62" s="43">
        <v>0</v>
      </c>
      <c r="H62" s="43">
        <v>0</v>
      </c>
      <c r="I62" s="43">
        <f>IF(H62="", "", J62-H62)</f>
        <v>0</v>
      </c>
      <c r="J62" s="43">
        <f>IF(ISBLANK(Projection!P59), "", Projection!P59)</f>
        <v>0</v>
      </c>
      <c r="K62" s="43">
        <f>IF(ISBLANK('Committed Cost'!P59), "", 'Committed Cost'!P59)</f>
        <v>0</v>
      </c>
      <c r="L62" s="37">
        <f>IFERROR(IF(ISBLANK(F62), "", K62/F62), 0)</f>
        <v>0</v>
      </c>
      <c r="M62" s="43">
        <f>IF(F62="", "", F62-K62)</f>
        <v>0</v>
      </c>
      <c r="N62" s="43">
        <f>IF(ISBLANK(Accrual!P59), "", Accrual!P59)</f>
        <v>0</v>
      </c>
      <c r="O62" s="43">
        <f>IF(ISBLANK('Cash Flow'!P59), "",'Cash Flow'!P59)</f>
        <v>0</v>
      </c>
      <c r="P62" s="37">
        <f>IFERROR(IF(O62="", "", O62/K62), 0)</f>
        <v>0</v>
      </c>
      <c r="Q62" s="44">
        <f>IF(K62="", "", K62-O62)</f>
        <v>0</v>
      </c>
    </row>
    <row r="63" spans="1:18" customHeight="1" ht="12.75">
      <c r="A63" s="18" t="s">
        <v>120</v>
      </c>
      <c r="B63" s="4" t="s">
        <v>121</v>
      </c>
      <c r="C63" s="43">
        <v>0.0</v>
      </c>
      <c r="D63" s="43">
        <v>0.0</v>
      </c>
      <c r="E63" s="43">
        <v>0.0</v>
      </c>
      <c r="F63" s="43">
        <f>D63+E63</f>
        <v>0</v>
      </c>
      <c r="G63" s="43">
        <v>1680</v>
      </c>
      <c r="H63" s="43">
        <v>1680</v>
      </c>
      <c r="I63" s="43">
        <f>IF(H63="", "", J63-H63)</f>
        <v>3620</v>
      </c>
      <c r="J63" s="43">
        <f>IF(ISBLANK(Projection!P60), "", Projection!P60)</f>
        <v>5300</v>
      </c>
      <c r="K63" s="43">
        <f>IF(ISBLANK('Committed Cost'!P60), "", 'Committed Cost'!P60)</f>
        <v>5202.91118</v>
      </c>
      <c r="L63" s="37">
        <f>IFERROR(IF(ISBLANK(F63), "", K63/F63), 0)</f>
        <v>0</v>
      </c>
      <c r="M63" s="43">
        <f>IF(F63="", "", F63-K63)</f>
        <v>-5202.91118</v>
      </c>
      <c r="N63" s="43">
        <f>IF(ISBLANK(Accrual!P60), "", Accrual!P60)</f>
        <v>1696.24718</v>
      </c>
      <c r="O63" s="43">
        <f>IF(ISBLANK('Cash Flow'!P60), "",'Cash Flow'!P60)</f>
        <v>1310.316</v>
      </c>
      <c r="P63" s="37">
        <f>IFERROR(IF(O63="", "", O63/K63), 0)</f>
        <v>0.25184285386936</v>
      </c>
      <c r="Q63" s="44">
        <f>IF(K63="", "", K63-O63)</f>
        <v>3892.59518</v>
      </c>
    </row>
    <row r="64" spans="1:18" customHeight="1" ht="12.75" hidden="true">
      <c r="A64" s="18" t="s">
        <v>122</v>
      </c>
      <c r="B64" s="4" t="s">
        <v>123</v>
      </c>
      <c r="C64" s="43">
        <v>0</v>
      </c>
      <c r="D64" s="43">
        <v>0</v>
      </c>
      <c r="E64" s="43">
        <v>0</v>
      </c>
      <c r="F64" s="43">
        <f>D64+E64</f>
        <v>0</v>
      </c>
      <c r="G64" s="43">
        <v>0</v>
      </c>
      <c r="H64" s="43">
        <v>0</v>
      </c>
      <c r="I64" s="43">
        <f>IF(H64="", "", J64-H64)</f>
        <v>0</v>
      </c>
      <c r="J64" s="43">
        <f>IF(ISBLANK(Projection!P61), "", Projection!P61)</f>
        <v>0</v>
      </c>
      <c r="K64" s="43">
        <f>IF(ISBLANK('Committed Cost'!P61), "", 'Committed Cost'!P61)</f>
        <v>0</v>
      </c>
      <c r="L64" s="37">
        <f>IFERROR(IF(ISBLANK(F64), "", K64/F64), 0)</f>
        <v>0</v>
      </c>
      <c r="M64" s="43">
        <f>IF(F64="", "", F64-K64)</f>
        <v>0</v>
      </c>
      <c r="N64" s="43">
        <f>IF(ISBLANK(Accrual!P61), "", Accrual!P61)</f>
        <v>0</v>
      </c>
      <c r="O64" s="43">
        <f>IF(ISBLANK('Cash Flow'!P61), "",'Cash Flow'!P61)</f>
        <v>0</v>
      </c>
      <c r="P64" s="37">
        <f>IFERROR(IF(O64="", "", O64/K64), 0)</f>
        <v>0</v>
      </c>
      <c r="Q64" s="44">
        <f>IF(K64="", "", K64-O64)</f>
        <v>0</v>
      </c>
    </row>
    <row r="65" spans="1:18" customHeight="1" ht="12.75" hidden="true">
      <c r="A65" s="18" t="s">
        <v>124</v>
      </c>
      <c r="B65" s="4" t="s">
        <v>125</v>
      </c>
      <c r="C65" s="43">
        <v>0</v>
      </c>
      <c r="D65" s="43">
        <v>0</v>
      </c>
      <c r="E65" s="43">
        <v>0</v>
      </c>
      <c r="F65" s="43">
        <f>D65+E65</f>
        <v>0</v>
      </c>
      <c r="G65" s="43">
        <v>0</v>
      </c>
      <c r="H65" s="43">
        <v>0</v>
      </c>
      <c r="I65" s="43">
        <f>IF(H65="", "", J65-H65)</f>
        <v>0</v>
      </c>
      <c r="J65" s="43">
        <f>IF(ISBLANK(Projection!P62), "", Projection!P62)</f>
        <v>0</v>
      </c>
      <c r="K65" s="43">
        <f>IF(ISBLANK('Committed Cost'!P62), "", 'Committed Cost'!P62)</f>
        <v>0</v>
      </c>
      <c r="L65" s="37">
        <f>IFERROR(IF(ISBLANK(F65), "", K65/F65), 0)</f>
        <v>0</v>
      </c>
      <c r="M65" s="43">
        <f>IF(F65="", "", F65-K65)</f>
        <v>0</v>
      </c>
      <c r="N65" s="43">
        <f>IF(ISBLANK(Accrual!P62), "", Accrual!P62)</f>
        <v>0</v>
      </c>
      <c r="O65" s="43">
        <f>IF(ISBLANK('Cash Flow'!P62), "",'Cash Flow'!P62)</f>
        <v>0</v>
      </c>
      <c r="P65" s="37">
        <f>IFERROR(IF(O65="", "", O65/K65), 0)</f>
        <v>0</v>
      </c>
      <c r="Q65" s="44">
        <f>IF(K65="", "", K65-O65)</f>
        <v>0</v>
      </c>
    </row>
    <row r="66" spans="1:18" customHeight="1" ht="12.75" hidden="true">
      <c r="A66" s="18" t="s">
        <v>126</v>
      </c>
      <c r="B66" s="4" t="s">
        <v>127</v>
      </c>
      <c r="C66" s="43">
        <v>0</v>
      </c>
      <c r="D66" s="43">
        <v>0</v>
      </c>
      <c r="E66" s="43">
        <v>0</v>
      </c>
      <c r="F66" s="43">
        <f>D66+E66</f>
        <v>0</v>
      </c>
      <c r="G66" s="43">
        <v>0</v>
      </c>
      <c r="H66" s="43">
        <v>0</v>
      </c>
      <c r="I66" s="43">
        <f>IF(H66="", "", J66-H66)</f>
        <v>0</v>
      </c>
      <c r="J66" s="43">
        <f>IF(ISBLANK(Projection!P63), "", Projection!P63)</f>
        <v>0</v>
      </c>
      <c r="K66" s="43">
        <f>IF(ISBLANK('Committed Cost'!P63), "", 'Committed Cost'!P63)</f>
        <v>0</v>
      </c>
      <c r="L66" s="37">
        <f>IFERROR(IF(ISBLANK(F66), "", K66/F66), 0)</f>
        <v>0</v>
      </c>
      <c r="M66" s="43">
        <f>IF(F66="", "", F66-K66)</f>
        <v>0</v>
      </c>
      <c r="N66" s="43">
        <f>IF(ISBLANK(Accrual!P63), "", Accrual!P63)</f>
        <v>0</v>
      </c>
      <c r="O66" s="43">
        <f>IF(ISBLANK('Cash Flow'!P63), "",'Cash Flow'!P63)</f>
        <v>0</v>
      </c>
      <c r="P66" s="37">
        <f>IFERROR(IF(O66="", "", O66/K66), 0)</f>
        <v>0</v>
      </c>
      <c r="Q66" s="44">
        <f>IF(K66="", "", K66-O66)</f>
        <v>0</v>
      </c>
    </row>
    <row r="67" spans="1:18" customHeight="1" ht="12.75" hidden="true">
      <c r="A67" s="18" t="s">
        <v>128</v>
      </c>
      <c r="B67" s="4" t="s">
        <v>129</v>
      </c>
      <c r="C67" s="43">
        <v>0</v>
      </c>
      <c r="D67" s="43">
        <v>0</v>
      </c>
      <c r="E67" s="43">
        <v>0</v>
      </c>
      <c r="F67" s="43">
        <f>D67+E67</f>
        <v>0</v>
      </c>
      <c r="G67" s="43">
        <v>0</v>
      </c>
      <c r="H67" s="43">
        <v>0</v>
      </c>
      <c r="I67" s="43">
        <f>IF(H67="", "", J67-H67)</f>
        <v>0</v>
      </c>
      <c r="J67" s="43">
        <f>IF(ISBLANK(Projection!P64), "", Projection!P64)</f>
        <v>0</v>
      </c>
      <c r="K67" s="43">
        <f>IF(ISBLANK('Committed Cost'!P64), "", 'Committed Cost'!P64)</f>
        <v>0</v>
      </c>
      <c r="L67" s="37">
        <f>IFERROR(IF(ISBLANK(F67), "", K67/F67), 0)</f>
        <v>0</v>
      </c>
      <c r="M67" s="43">
        <f>IF(F67="", "", F67-K67)</f>
        <v>0</v>
      </c>
      <c r="N67" s="43">
        <f>IF(ISBLANK(Accrual!P64), "", Accrual!P64)</f>
        <v>0</v>
      </c>
      <c r="O67" s="43">
        <f>IF(ISBLANK('Cash Flow'!P64), "",'Cash Flow'!P64)</f>
        <v>0</v>
      </c>
      <c r="P67" s="37">
        <f>IFERROR(IF(O67="", "", O67/K67), 0)</f>
        <v>0</v>
      </c>
      <c r="Q67" s="44">
        <f>IF(K67="", "", K67-O67)</f>
        <v>0</v>
      </c>
    </row>
    <row r="68" spans="1:18" customHeight="1" ht="12.75" hidden="true">
      <c r="A68" s="18" t="s">
        <v>130</v>
      </c>
      <c r="B68" s="4" t="s">
        <v>131</v>
      </c>
      <c r="C68" s="43">
        <v>0</v>
      </c>
      <c r="D68" s="43">
        <v>0</v>
      </c>
      <c r="E68" s="43">
        <v>0</v>
      </c>
      <c r="F68" s="43">
        <f>D68+E68</f>
        <v>0</v>
      </c>
      <c r="G68" s="43">
        <v>0</v>
      </c>
      <c r="H68" s="43">
        <v>0</v>
      </c>
      <c r="I68" s="43">
        <f>IF(H68="", "", J68-H68)</f>
        <v>0</v>
      </c>
      <c r="J68" s="43">
        <f>IF(ISBLANK(Projection!P65), "", Projection!P65)</f>
        <v>0</v>
      </c>
      <c r="K68" s="43">
        <f>IF(ISBLANK('Committed Cost'!P65), "", 'Committed Cost'!P65)</f>
        <v>0</v>
      </c>
      <c r="L68" s="37">
        <f>IFERROR(IF(ISBLANK(F68), "", K68/F68), 0)</f>
        <v>0</v>
      </c>
      <c r="M68" s="43">
        <f>IF(F68="", "", F68-K68)</f>
        <v>0</v>
      </c>
      <c r="N68" s="43">
        <f>IF(ISBLANK(Accrual!P65), "", Accrual!P65)</f>
        <v>0</v>
      </c>
      <c r="O68" s="43">
        <f>IF(ISBLANK('Cash Flow'!P65), "",'Cash Flow'!P65)</f>
        <v>0</v>
      </c>
      <c r="P68" s="37">
        <f>IFERROR(IF(O68="", "", O68/K68), 0)</f>
        <v>0</v>
      </c>
      <c r="Q68" s="44">
        <f>IF(K68="", "", K68-O68)</f>
        <v>0</v>
      </c>
    </row>
    <row r="69" spans="1:18" customHeight="1" ht="12.75">
      <c r="A69" s="18" t="s">
        <v>132</v>
      </c>
      <c r="B69" s="4" t="s">
        <v>133</v>
      </c>
      <c r="C69" s="43">
        <v>0.0</v>
      </c>
      <c r="D69" s="43">
        <v>0.0</v>
      </c>
      <c r="E69" s="43">
        <v>0.0</v>
      </c>
      <c r="F69" s="43">
        <f>D69+E69</f>
        <v>0</v>
      </c>
      <c r="G69" s="43">
        <v>12898</v>
      </c>
      <c r="H69" s="43">
        <v>12898</v>
      </c>
      <c r="I69" s="43">
        <f>IF(H69="", "", J69-H69)</f>
        <v>9000.084</v>
      </c>
      <c r="J69" s="43">
        <f>IF(ISBLANK(Projection!P66), "", Projection!P66)</f>
        <v>21898.084</v>
      </c>
      <c r="K69" s="43">
        <f>IF(ISBLANK('Committed Cost'!P66), "", 'Committed Cost'!P66)</f>
        <v>16578.33237</v>
      </c>
      <c r="L69" s="37">
        <f>IFERROR(IF(ISBLANK(F69), "", K69/F69), 0)</f>
        <v>0</v>
      </c>
      <c r="M69" s="43">
        <f>IF(F69="", "", F69-K69)</f>
        <v>-16578.33237</v>
      </c>
      <c r="N69" s="43">
        <f>IF(ISBLANK(Accrual!P66), "", Accrual!P66)</f>
        <v>12016.18939</v>
      </c>
      <c r="O69" s="43">
        <f>IF(ISBLANK('Cash Flow'!P66), "",'Cash Flow'!P66)</f>
        <v>9029.31119</v>
      </c>
      <c r="P69" s="37">
        <f>IFERROR(IF(O69="", "", O69/K69), 0)</f>
        <v>0.54464532309289</v>
      </c>
      <c r="Q69" s="44">
        <f>IF(K69="", "", K69-O69)</f>
        <v>7549.02118</v>
      </c>
    </row>
    <row r="70" spans="1:18" customHeight="1" ht="12.75">
      <c r="A70" s="18" t="s">
        <v>134</v>
      </c>
      <c r="B70" s="4" t="s">
        <v>135</v>
      </c>
      <c r="C70" s="43">
        <v>0</v>
      </c>
      <c r="D70" s="43">
        <v>0</v>
      </c>
      <c r="E70" s="43">
        <v>0</v>
      </c>
      <c r="F70" s="43">
        <f>D70+E70</f>
        <v>0</v>
      </c>
      <c r="G70" s="43">
        <v>0</v>
      </c>
      <c r="H70" s="43">
        <v>0</v>
      </c>
      <c r="I70" s="43">
        <f>IF(H70="", "", J70-H70)</f>
        <v>0</v>
      </c>
      <c r="J70" s="43">
        <f>IF(ISBLANK(Projection!P67), "", Projection!P67)</f>
        <v>0</v>
      </c>
      <c r="K70" s="43">
        <f>IF(ISBLANK('Committed Cost'!P67), "", 'Committed Cost'!P67)</f>
        <v>0</v>
      </c>
      <c r="L70" s="37">
        <f>IFERROR(IF(ISBLANK(F70), "", K70/F70), 0)</f>
        <v>0</v>
      </c>
      <c r="M70" s="43">
        <f>IF(F70="", "", F70-K70)</f>
        <v>0</v>
      </c>
      <c r="N70" s="43">
        <f>IF(ISBLANK(Accrual!P67), "", Accrual!P67)</f>
        <v>7750.09823</v>
      </c>
      <c r="O70" s="43">
        <f>IF(ISBLANK('Cash Flow'!P67), "",'Cash Flow'!P67)</f>
        <v>9297.43015</v>
      </c>
      <c r="P70" s="37">
        <f>IFERROR(IF(O70="", "", O70/K70), 0)</f>
        <v>0</v>
      </c>
      <c r="Q70" s="44">
        <f>IF(K70="", "", K70-O70)</f>
        <v>-9297.43015</v>
      </c>
    </row>
    <row r="71" spans="1:18" customHeight="1" ht="12.75" hidden="true">
      <c r="A71" s="18" t="s">
        <v>136</v>
      </c>
      <c r="B71" s="4" t="s">
        <v>137</v>
      </c>
      <c r="C71" s="43">
        <v>0</v>
      </c>
      <c r="D71" s="43">
        <v>0</v>
      </c>
      <c r="E71" s="43">
        <v>0</v>
      </c>
      <c r="F71" s="43">
        <f>D71+E71</f>
        <v>0</v>
      </c>
      <c r="G71" s="43">
        <v>0</v>
      </c>
      <c r="H71" s="43">
        <v>0</v>
      </c>
      <c r="I71" s="43">
        <f>IF(H71="", "", J71-H71)</f>
        <v>0</v>
      </c>
      <c r="J71" s="43">
        <f>IF(ISBLANK(Projection!P68), "", Projection!P68)</f>
        <v>0</v>
      </c>
      <c r="K71" s="43">
        <f>IF(ISBLANK('Committed Cost'!P68), "", 'Committed Cost'!P68)</f>
        <v>0</v>
      </c>
      <c r="L71" s="37">
        <f>IFERROR(IF(ISBLANK(F71), "", K71/F71), 0)</f>
        <v>0</v>
      </c>
      <c r="M71" s="43">
        <f>IF(F71="", "", F71-K71)</f>
        <v>0</v>
      </c>
      <c r="N71" s="43">
        <f>IF(ISBLANK(Accrual!P68), "", Accrual!P68)</f>
        <v>0</v>
      </c>
      <c r="O71" s="43">
        <f>IF(ISBLANK('Cash Flow'!P68), "",'Cash Flow'!P68)</f>
        <v>0</v>
      </c>
      <c r="P71" s="37">
        <f>IFERROR(IF(O71="", "", O71/K71), 0)</f>
        <v>0</v>
      </c>
      <c r="Q71" s="44">
        <f>IF(K71="", "", K71-O71)</f>
        <v>0</v>
      </c>
    </row>
    <row r="72" spans="1:18" customHeight="1" ht="12.75" hidden="true">
      <c r="A72" s="18" t="s">
        <v>138</v>
      </c>
      <c r="B72" s="4" t="s">
        <v>139</v>
      </c>
      <c r="C72" s="43">
        <v>0</v>
      </c>
      <c r="D72" s="43">
        <v>0</v>
      </c>
      <c r="E72" s="43">
        <v>0</v>
      </c>
      <c r="F72" s="43">
        <f>D72+E72</f>
        <v>0</v>
      </c>
      <c r="G72" s="43">
        <v>0</v>
      </c>
      <c r="H72" s="43">
        <v>0</v>
      </c>
      <c r="I72" s="43">
        <f>IF(H72="", "", J72-H72)</f>
        <v>0</v>
      </c>
      <c r="J72" s="43">
        <f>IF(ISBLANK(Projection!P69), "", Projection!P69)</f>
        <v>0</v>
      </c>
      <c r="K72" s="43">
        <f>IF(ISBLANK('Committed Cost'!P69), "", 'Committed Cost'!P69)</f>
        <v>0</v>
      </c>
      <c r="L72" s="37">
        <f>IFERROR(IF(ISBLANK(F72), "", K72/F72), 0)</f>
        <v>0</v>
      </c>
      <c r="M72" s="43">
        <f>IF(F72="", "", F72-K72)</f>
        <v>0</v>
      </c>
      <c r="N72" s="43">
        <f>IF(ISBLANK(Accrual!P69), "", Accrual!P69)</f>
        <v>0</v>
      </c>
      <c r="O72" s="43">
        <f>IF(ISBLANK('Cash Flow'!P69), "",'Cash Flow'!P69)</f>
        <v>0</v>
      </c>
      <c r="P72" s="37">
        <f>IFERROR(IF(O72="", "", O72/K72), 0)</f>
        <v>0</v>
      </c>
      <c r="Q72" s="44">
        <f>IF(K72="", "", K72-O72)</f>
        <v>0</v>
      </c>
    </row>
    <row r="73" spans="1:18" customHeight="1" ht="12.75" hidden="true">
      <c r="A73" s="18" t="s">
        <v>140</v>
      </c>
      <c r="B73" s="4" t="s">
        <v>141</v>
      </c>
      <c r="C73" s="43">
        <v>0</v>
      </c>
      <c r="D73" s="43">
        <v>0</v>
      </c>
      <c r="E73" s="43">
        <v>0</v>
      </c>
      <c r="F73" s="43">
        <f>D73+E73</f>
        <v>0</v>
      </c>
      <c r="G73" s="43">
        <v>0</v>
      </c>
      <c r="H73" s="43">
        <v>0</v>
      </c>
      <c r="I73" s="43">
        <f>IF(H73="", "", J73-H73)</f>
        <v>0</v>
      </c>
      <c r="J73" s="43">
        <f>IF(ISBLANK(Projection!P70), "", Projection!P70)</f>
        <v>0</v>
      </c>
      <c r="K73" s="43">
        <f>IF(ISBLANK('Committed Cost'!P70), "", 'Committed Cost'!P70)</f>
        <v>0</v>
      </c>
      <c r="L73" s="37">
        <f>IFERROR(IF(ISBLANK(F73), "", K73/F73), 0)</f>
        <v>0</v>
      </c>
      <c r="M73" s="43">
        <f>IF(F73="", "", F73-K73)</f>
        <v>0</v>
      </c>
      <c r="N73" s="43">
        <f>IF(ISBLANK(Accrual!P70), "", Accrual!P70)</f>
        <v>0</v>
      </c>
      <c r="O73" s="43">
        <f>IF(ISBLANK('Cash Flow'!P70), "",'Cash Flow'!P70)</f>
        <v>0</v>
      </c>
      <c r="P73" s="37">
        <f>IFERROR(IF(O73="", "", O73/K73), 0)</f>
        <v>0</v>
      </c>
      <c r="Q73" s="44">
        <f>IF(K73="", "", K73-O73)</f>
        <v>0</v>
      </c>
    </row>
    <row r="74" spans="1:18" customHeight="1" ht="12.75" hidden="true">
      <c r="A74" s="18" t="s">
        <v>142</v>
      </c>
      <c r="B74" s="4" t="s">
        <v>143</v>
      </c>
      <c r="C74" s="43">
        <v>0</v>
      </c>
      <c r="D74" s="43">
        <v>0</v>
      </c>
      <c r="E74" s="43">
        <v>0</v>
      </c>
      <c r="F74" s="43">
        <f>D74+E74</f>
        <v>0</v>
      </c>
      <c r="G74" s="43">
        <v>0</v>
      </c>
      <c r="H74" s="43">
        <v>0</v>
      </c>
      <c r="I74" s="43">
        <f>IF(H74="", "", J74-H74)</f>
        <v>0</v>
      </c>
      <c r="J74" s="43">
        <f>IF(ISBLANK(Projection!P71), "", Projection!P71)</f>
        <v>0</v>
      </c>
      <c r="K74" s="43">
        <f>IF(ISBLANK('Committed Cost'!P71), "", 'Committed Cost'!P71)</f>
        <v>0</v>
      </c>
      <c r="L74" s="37">
        <f>IFERROR(IF(ISBLANK(F74), "", K74/F74), 0)</f>
        <v>0</v>
      </c>
      <c r="M74" s="43">
        <f>IF(F74="", "", F74-K74)</f>
        <v>0</v>
      </c>
      <c r="N74" s="43">
        <f>IF(ISBLANK(Accrual!P71), "", Accrual!P71)</f>
        <v>0</v>
      </c>
      <c r="O74" s="43">
        <f>IF(ISBLANK('Cash Flow'!P71), "",'Cash Flow'!P71)</f>
        <v>0</v>
      </c>
      <c r="P74" s="37">
        <f>IFERROR(IF(O74="", "", O74/K74), 0)</f>
        <v>0</v>
      </c>
      <c r="Q74" s="44">
        <f>IF(K74="", "", K74-O74)</f>
        <v>0</v>
      </c>
    </row>
    <row r="75" spans="1:18" customHeight="1" ht="12.75">
      <c r="A75" s="18">
        <v>2.3</v>
      </c>
      <c r="B75" s="4" t="s">
        <v>144</v>
      </c>
      <c r="C75" s="43"/>
      <c r="D75" s="43"/>
      <c r="E75" s="43"/>
      <c r="F75" s="43"/>
      <c r="G75" s="43"/>
      <c r="H75" s="43"/>
      <c r="I75" s="43" t="str">
        <f>IF(H75="", "", J75-H75)</f>
        <v/>
      </c>
      <c r="J75" s="43" t="str">
        <f>IF(ISBLANK(Projection!P72), "", Projection!P72)</f>
        <v/>
      </c>
      <c r="K75" s="43" t="str">
        <f>IF(ISBLANK('Committed Cost'!P72), "", 'Committed Cost'!P72)</f>
        <v/>
      </c>
      <c r="L75" s="37" t="str">
        <f>IFERROR(IF(ISBLANK(F75), "", K75/F75), 0)</f>
        <v/>
      </c>
      <c r="M75" s="43" t="str">
        <f>IF(F75="", "", F75-K75)</f>
        <v/>
      </c>
      <c r="N75" s="43" t="str">
        <f>IF(ISBLANK(Accrual!P72), "", Accrual!P72)</f>
        <v/>
      </c>
      <c r="O75" s="43" t="str">
        <f>IF(ISBLANK('Cash Flow'!P72), "",'Cash Flow'!P72)</f>
        <v/>
      </c>
      <c r="P75" s="37" t="str">
        <f>IFERROR(IF(O75="", "", O75/K75), 0)</f>
        <v/>
      </c>
      <c r="Q75" s="44" t="str">
        <f>IF(K75="", "", K75-O75)</f>
        <v/>
      </c>
    </row>
    <row r="76" spans="1:18" customHeight="1" ht="12.75">
      <c r="A76" s="18" t="s">
        <v>145</v>
      </c>
      <c r="B76" s="4" t="s">
        <v>146</v>
      </c>
      <c r="C76" s="43">
        <v>4341.11</v>
      </c>
      <c r="D76" s="43">
        <v>4341.11</v>
      </c>
      <c r="E76" s="43">
        <v>0.0</v>
      </c>
      <c r="F76" s="43">
        <f>D76+E76</f>
        <v>4341.11</v>
      </c>
      <c r="G76" s="43">
        <v>1592</v>
      </c>
      <c r="H76" s="43">
        <v>1592</v>
      </c>
      <c r="I76" s="43">
        <f>IF(H76="", "", J76-H76)</f>
        <v>-0.22000000000003</v>
      </c>
      <c r="J76" s="43">
        <f>IF(ISBLANK(Projection!P73), "", Projection!P73)</f>
        <v>1591.78</v>
      </c>
      <c r="K76" s="43">
        <f>IF(ISBLANK('Committed Cost'!P73), "", 'Committed Cost'!P73)</f>
        <v>1562.772</v>
      </c>
      <c r="L76" s="37">
        <f>IFERROR(IF(ISBLANK(F76), "", K76/F76), 0)</f>
        <v>0.35999364217907</v>
      </c>
      <c r="M76" s="43">
        <f>IF(F76="", "", F76-K76)</f>
        <v>2778.338</v>
      </c>
      <c r="N76" s="43">
        <f>IF(ISBLANK(Accrual!P73), "", Accrual!P73)</f>
        <v>1562.772</v>
      </c>
      <c r="O76" s="43">
        <f>IF(ISBLANK('Cash Flow'!P73), "",'Cash Flow'!P73)</f>
        <v>1562.772</v>
      </c>
      <c r="P76" s="37">
        <f>IFERROR(IF(O76="", "", O76/K76), 0)</f>
        <v>1</v>
      </c>
      <c r="Q76" s="44">
        <f>IF(K76="", "", K76-O76)</f>
        <v>0</v>
      </c>
    </row>
    <row r="77" spans="1:18" customHeight="1" ht="12.75">
      <c r="A77" s="18" t="s">
        <v>147</v>
      </c>
      <c r="B77" s="4" t="s">
        <v>148</v>
      </c>
      <c r="C77" s="43">
        <v>737.584</v>
      </c>
      <c r="D77" s="43">
        <v>737.584</v>
      </c>
      <c r="E77" s="43">
        <v>0.0</v>
      </c>
      <c r="F77" s="43">
        <f>D77+E77</f>
        <v>737.584</v>
      </c>
      <c r="G77" s="43">
        <v>60250</v>
      </c>
      <c r="H77" s="43">
        <v>60250</v>
      </c>
      <c r="I77" s="43">
        <f>IF(H77="", "", J77-H77)</f>
        <v>48969.5</v>
      </c>
      <c r="J77" s="43">
        <f>IF(ISBLANK(Projection!P74), "", Projection!P74)</f>
        <v>109219.5</v>
      </c>
      <c r="K77" s="43">
        <f>IF(ISBLANK('Committed Cost'!P74), "", 'Committed Cost'!P74)</f>
        <v>108246.06127</v>
      </c>
      <c r="L77" s="37">
        <f>IFERROR(IF(ISBLANK(F77), "", K77/F77), 0)</f>
        <v>146.75760492364</v>
      </c>
      <c r="M77" s="43">
        <f>IF(F77="", "", F77-K77)</f>
        <v>-107508.47727</v>
      </c>
      <c r="N77" s="43">
        <f>IF(ISBLANK(Accrual!P74), "", Accrual!P74)</f>
        <v>76204.20205</v>
      </c>
      <c r="O77" s="43">
        <f>IF(ISBLANK('Cash Flow'!P74), "",'Cash Flow'!P74)</f>
        <v>54918.52936</v>
      </c>
      <c r="P77" s="37">
        <f>IFERROR(IF(O77="", "", O77/K77), 0)</f>
        <v>0.50734898541034</v>
      </c>
      <c r="Q77" s="44">
        <f>IF(K77="", "", K77-O77)</f>
        <v>53327.53191</v>
      </c>
    </row>
    <row r="78" spans="1:18" customHeight="1" ht="12.75" hidden="true">
      <c r="A78" s="18" t="s">
        <v>149</v>
      </c>
      <c r="B78" s="4" t="s">
        <v>150</v>
      </c>
      <c r="C78" s="43">
        <v>0</v>
      </c>
      <c r="D78" s="43">
        <v>0</v>
      </c>
      <c r="E78" s="43">
        <v>0</v>
      </c>
      <c r="F78" s="43">
        <f>D78+E78</f>
        <v>0</v>
      </c>
      <c r="G78" s="43">
        <v>0</v>
      </c>
      <c r="H78" s="43">
        <v>0</v>
      </c>
      <c r="I78" s="43">
        <f>IF(H78="", "", J78-H78)</f>
        <v>0</v>
      </c>
      <c r="J78" s="43">
        <f>IF(ISBLANK(Projection!P75), "", Projection!P75)</f>
        <v>0</v>
      </c>
      <c r="K78" s="43">
        <f>IF(ISBLANK('Committed Cost'!P75), "", 'Committed Cost'!P75)</f>
        <v>0</v>
      </c>
      <c r="L78" s="37">
        <f>IFERROR(IF(ISBLANK(F78), "", K78/F78), 0)</f>
        <v>0</v>
      </c>
      <c r="M78" s="43">
        <f>IF(F78="", "", F78-K78)</f>
        <v>0</v>
      </c>
      <c r="N78" s="43">
        <f>IF(ISBLANK(Accrual!P75), "", Accrual!P75)</f>
        <v>0</v>
      </c>
      <c r="O78" s="43">
        <f>IF(ISBLANK('Cash Flow'!P75), "",'Cash Flow'!P75)</f>
        <v>0</v>
      </c>
      <c r="P78" s="37">
        <f>IFERROR(IF(O78="", "", O78/K78), 0)</f>
        <v>0</v>
      </c>
      <c r="Q78" s="44">
        <f>IF(K78="", "", K78-O78)</f>
        <v>0</v>
      </c>
    </row>
    <row r="79" spans="1:18" customHeight="1" ht="12.75" hidden="true">
      <c r="A79" s="18" t="s">
        <v>151</v>
      </c>
      <c r="B79" s="4" t="s">
        <v>152</v>
      </c>
      <c r="C79" s="43">
        <v>0</v>
      </c>
      <c r="D79" s="43">
        <v>0</v>
      </c>
      <c r="E79" s="43">
        <v>0</v>
      </c>
      <c r="F79" s="43">
        <f>D79+E79</f>
        <v>0</v>
      </c>
      <c r="G79" s="43">
        <v>0</v>
      </c>
      <c r="H79" s="43">
        <v>0</v>
      </c>
      <c r="I79" s="43">
        <f>IF(H79="", "", J79-H79)</f>
        <v>0</v>
      </c>
      <c r="J79" s="43">
        <f>IF(ISBLANK(Projection!P76), "", Projection!P76)</f>
        <v>0</v>
      </c>
      <c r="K79" s="43">
        <f>IF(ISBLANK('Committed Cost'!P76), "", 'Committed Cost'!P76)</f>
        <v>0</v>
      </c>
      <c r="L79" s="37">
        <f>IFERROR(IF(ISBLANK(F79), "", K79/F79), 0)</f>
        <v>0</v>
      </c>
      <c r="M79" s="43">
        <f>IF(F79="", "", F79-K79)</f>
        <v>0</v>
      </c>
      <c r="N79" s="43">
        <f>IF(ISBLANK(Accrual!P76), "", Accrual!P76)</f>
        <v>0</v>
      </c>
      <c r="O79" s="43">
        <f>IF(ISBLANK('Cash Flow'!P76), "",'Cash Flow'!P76)</f>
        <v>0</v>
      </c>
      <c r="P79" s="37">
        <f>IFERROR(IF(O79="", "", O79/K79), 0)</f>
        <v>0</v>
      </c>
      <c r="Q79" s="44">
        <f>IF(K79="", "", K79-O79)</f>
        <v>0</v>
      </c>
    </row>
    <row r="80" spans="1:18" customHeight="1" ht="12.75" hidden="true">
      <c r="A80" s="18" t="s">
        <v>153</v>
      </c>
      <c r="B80" s="4" t="s">
        <v>154</v>
      </c>
      <c r="C80" s="43">
        <v>0</v>
      </c>
      <c r="D80" s="43">
        <v>0</v>
      </c>
      <c r="E80" s="43">
        <v>0</v>
      </c>
      <c r="F80" s="43">
        <f>D80+E80</f>
        <v>0</v>
      </c>
      <c r="G80" s="43">
        <v>0</v>
      </c>
      <c r="H80" s="43">
        <v>0</v>
      </c>
      <c r="I80" s="43">
        <f>IF(H80="", "", J80-H80)</f>
        <v>0</v>
      </c>
      <c r="J80" s="43">
        <f>IF(ISBLANK(Projection!P77), "", Projection!P77)</f>
        <v>0</v>
      </c>
      <c r="K80" s="43">
        <f>IF(ISBLANK('Committed Cost'!P77), "", 'Committed Cost'!P77)</f>
        <v>0</v>
      </c>
      <c r="L80" s="37">
        <f>IFERROR(IF(ISBLANK(F80), "", K80/F80), 0)</f>
        <v>0</v>
      </c>
      <c r="M80" s="43">
        <f>IF(F80="", "", F80-K80)</f>
        <v>0</v>
      </c>
      <c r="N80" s="43">
        <f>IF(ISBLANK(Accrual!P77), "", Accrual!P77)</f>
        <v>0</v>
      </c>
      <c r="O80" s="43">
        <f>IF(ISBLANK('Cash Flow'!P77), "",'Cash Flow'!P77)</f>
        <v>0</v>
      </c>
      <c r="P80" s="37">
        <f>IFERROR(IF(O80="", "", O80/K80), 0)</f>
        <v>0</v>
      </c>
      <c r="Q80" s="44">
        <f>IF(K80="", "", K80-O80)</f>
        <v>0</v>
      </c>
    </row>
    <row r="81" spans="1:18" customHeight="1" ht="12.75" hidden="true">
      <c r="A81" s="18" t="s">
        <v>155</v>
      </c>
      <c r="B81" s="4" t="s">
        <v>156</v>
      </c>
      <c r="C81" s="43">
        <v>0</v>
      </c>
      <c r="D81" s="43">
        <v>0</v>
      </c>
      <c r="E81" s="43">
        <v>0</v>
      </c>
      <c r="F81" s="43">
        <f>D81+E81</f>
        <v>0</v>
      </c>
      <c r="G81" s="43">
        <v>0</v>
      </c>
      <c r="H81" s="43">
        <v>0</v>
      </c>
      <c r="I81" s="43">
        <f>IF(H81="", "", J81-H81)</f>
        <v>0</v>
      </c>
      <c r="J81" s="43">
        <f>IF(ISBLANK(Projection!P78), "", Projection!P78)</f>
        <v>0</v>
      </c>
      <c r="K81" s="43">
        <f>IF(ISBLANK('Committed Cost'!P78), "", 'Committed Cost'!P78)</f>
        <v>0</v>
      </c>
      <c r="L81" s="37">
        <f>IFERROR(IF(ISBLANK(F81), "", K81/F81), 0)</f>
        <v>0</v>
      </c>
      <c r="M81" s="43">
        <f>IF(F81="", "", F81-K81)</f>
        <v>0</v>
      </c>
      <c r="N81" s="43">
        <f>IF(ISBLANK(Accrual!P78), "", Accrual!P78)</f>
        <v>0</v>
      </c>
      <c r="O81" s="43">
        <f>IF(ISBLANK('Cash Flow'!P78), "",'Cash Flow'!P78)</f>
        <v>0</v>
      </c>
      <c r="P81" s="37">
        <f>IFERROR(IF(O81="", "", O81/K81), 0)</f>
        <v>0</v>
      </c>
      <c r="Q81" s="44">
        <f>IF(K81="", "", K81-O81)</f>
        <v>0</v>
      </c>
    </row>
    <row r="82" spans="1:18" customHeight="1" ht="12.75" hidden="true">
      <c r="A82" s="18" t="s">
        <v>157</v>
      </c>
      <c r="B82" s="4" t="s">
        <v>158</v>
      </c>
      <c r="C82" s="43">
        <v>0</v>
      </c>
      <c r="D82" s="43">
        <v>0</v>
      </c>
      <c r="E82" s="43">
        <v>0</v>
      </c>
      <c r="F82" s="43">
        <f>D82+E82</f>
        <v>0</v>
      </c>
      <c r="G82" s="43">
        <v>0</v>
      </c>
      <c r="H82" s="43">
        <v>0</v>
      </c>
      <c r="I82" s="43">
        <f>IF(H82="", "", J82-H82)</f>
        <v>0</v>
      </c>
      <c r="J82" s="43">
        <f>IF(ISBLANK(Projection!P79), "", Projection!P79)</f>
        <v>0</v>
      </c>
      <c r="K82" s="43">
        <f>IF(ISBLANK('Committed Cost'!P79), "", 'Committed Cost'!P79)</f>
        <v>0</v>
      </c>
      <c r="L82" s="37">
        <f>IFERROR(IF(ISBLANK(F82), "", K82/F82), 0)</f>
        <v>0</v>
      </c>
      <c r="M82" s="43">
        <f>IF(F82="", "", F82-K82)</f>
        <v>0</v>
      </c>
      <c r="N82" s="43">
        <f>IF(ISBLANK(Accrual!P79), "", Accrual!P79)</f>
        <v>0</v>
      </c>
      <c r="O82" s="43">
        <f>IF(ISBLANK('Cash Flow'!P79), "",'Cash Flow'!P79)</f>
        <v>0</v>
      </c>
      <c r="P82" s="37">
        <f>IFERROR(IF(O82="", "", O82/K82), 0)</f>
        <v>0</v>
      </c>
      <c r="Q82" s="44">
        <f>IF(K82="", "", K82-O82)</f>
        <v>0</v>
      </c>
    </row>
    <row r="83" spans="1:18" customHeight="1" ht="12.75" hidden="true">
      <c r="A83" s="18" t="s">
        <v>159</v>
      </c>
      <c r="B83" s="4" t="s">
        <v>160</v>
      </c>
      <c r="C83" s="43">
        <v>0</v>
      </c>
      <c r="D83" s="43">
        <v>0</v>
      </c>
      <c r="E83" s="43">
        <v>0</v>
      </c>
      <c r="F83" s="43">
        <f>D83+E83</f>
        <v>0</v>
      </c>
      <c r="G83" s="43">
        <v>0</v>
      </c>
      <c r="H83" s="43">
        <v>0</v>
      </c>
      <c r="I83" s="43">
        <f>IF(H83="", "", J83-H83)</f>
        <v>0</v>
      </c>
      <c r="J83" s="43">
        <f>IF(ISBLANK(Projection!P80), "", Projection!P80)</f>
        <v>0</v>
      </c>
      <c r="K83" s="43">
        <f>IF(ISBLANK('Committed Cost'!P80), "", 'Committed Cost'!P80)</f>
        <v>0</v>
      </c>
      <c r="L83" s="37">
        <f>IFERROR(IF(ISBLANK(F83), "", K83/F83), 0)</f>
        <v>0</v>
      </c>
      <c r="M83" s="43">
        <f>IF(F83="", "", F83-K83)</f>
        <v>0</v>
      </c>
      <c r="N83" s="43">
        <f>IF(ISBLANK(Accrual!P80), "", Accrual!P80)</f>
        <v>0</v>
      </c>
      <c r="O83" s="43">
        <f>IF(ISBLANK('Cash Flow'!P80), "",'Cash Flow'!P80)</f>
        <v>0</v>
      </c>
      <c r="P83" s="37">
        <f>IFERROR(IF(O83="", "", O83/K83), 0)</f>
        <v>0</v>
      </c>
      <c r="Q83" s="44">
        <f>IF(K83="", "", K83-O83)</f>
        <v>0</v>
      </c>
    </row>
    <row r="84" spans="1:18" customHeight="1" ht="12.75" hidden="true">
      <c r="A84" s="18" t="s">
        <v>161</v>
      </c>
      <c r="B84" s="4" t="s">
        <v>162</v>
      </c>
      <c r="C84" s="43">
        <v>0.0</v>
      </c>
      <c r="D84" s="43">
        <v>0.0</v>
      </c>
      <c r="E84" s="43">
        <v>0.0</v>
      </c>
      <c r="F84" s="43">
        <f>D84+E84</f>
        <v>0</v>
      </c>
      <c r="G84" s="43">
        <v>0</v>
      </c>
      <c r="H84" s="43">
        <v>0</v>
      </c>
      <c r="I84" s="43">
        <f>IF(H84="", "", J84-H84)</f>
        <v>0</v>
      </c>
      <c r="J84" s="43">
        <f>IF(ISBLANK(Projection!P81), "", Projection!P81)</f>
        <v>0</v>
      </c>
      <c r="K84" s="43">
        <f>IF(ISBLANK('Committed Cost'!P81), "", 'Committed Cost'!P81)</f>
        <v>0</v>
      </c>
      <c r="L84" s="37">
        <f>IFERROR(IF(ISBLANK(F84), "", K84/F84), 0)</f>
        <v>0</v>
      </c>
      <c r="M84" s="43">
        <f>IF(F84="", "", F84-K84)</f>
        <v>0</v>
      </c>
      <c r="N84" s="43">
        <f>IF(ISBLANK(Accrual!P81), "", Accrual!P81)</f>
        <v>0</v>
      </c>
      <c r="O84" s="43">
        <f>IF(ISBLANK('Cash Flow'!P81), "",'Cash Flow'!P81)</f>
        <v>0</v>
      </c>
      <c r="P84" s="37">
        <f>IFERROR(IF(O84="", "", O84/K84), 0)</f>
        <v>0</v>
      </c>
      <c r="Q84" s="44">
        <f>IF(K84="", "", K84-O84)</f>
        <v>0</v>
      </c>
    </row>
    <row r="85" spans="1:18" customHeight="1" ht="12.75">
      <c r="A85" s="18">
        <v>2.4</v>
      </c>
      <c r="B85" s="4" t="s">
        <v>163</v>
      </c>
      <c r="C85" s="43"/>
      <c r="D85" s="43"/>
      <c r="E85" s="43"/>
      <c r="F85" s="43"/>
      <c r="G85" s="43"/>
      <c r="H85" s="43"/>
      <c r="I85" s="43" t="str">
        <f>IF(H85="", "", J85-H85)</f>
        <v/>
      </c>
      <c r="J85" s="43" t="str">
        <f>IF(ISBLANK(Projection!P82), "", Projection!P82)</f>
        <v/>
      </c>
      <c r="K85" s="43" t="str">
        <f>IF(ISBLANK('Committed Cost'!P82), "", 'Committed Cost'!P82)</f>
        <v/>
      </c>
      <c r="L85" s="37" t="str">
        <f>IFERROR(IF(ISBLANK(F85), "", K85/F85), 0)</f>
        <v/>
      </c>
      <c r="M85" s="43" t="str">
        <f>IF(F85="", "", F85-K85)</f>
        <v/>
      </c>
      <c r="N85" s="43" t="str">
        <f>IF(ISBLANK(Accrual!P82), "", Accrual!P82)</f>
        <v/>
      </c>
      <c r="O85" s="43" t="str">
        <f>IF(ISBLANK('Cash Flow'!P82), "",'Cash Flow'!P82)</f>
        <v/>
      </c>
      <c r="P85" s="37" t="str">
        <f>IFERROR(IF(O85="", "", O85/K85), 0)</f>
        <v/>
      </c>
      <c r="Q85" s="44" t="str">
        <f>IF(K85="", "", K85-O85)</f>
        <v/>
      </c>
    </row>
    <row r="86" spans="1:18" customHeight="1" ht="12.75">
      <c r="A86" s="18" t="s">
        <v>164</v>
      </c>
      <c r="B86" s="4" t="s">
        <v>165</v>
      </c>
      <c r="C86" s="43">
        <v>359950.88145</v>
      </c>
      <c r="D86" s="43">
        <v>367659.01141</v>
      </c>
      <c r="E86" s="43">
        <v>0.0</v>
      </c>
      <c r="F86" s="43">
        <f>D86+E86</f>
        <v>367659.01141</v>
      </c>
      <c r="G86" s="43">
        <v>681906.508</v>
      </c>
      <c r="H86" s="43">
        <v>681906.508</v>
      </c>
      <c r="I86" s="43">
        <f>IF(H86="", "", J86-H86)</f>
        <v>54900</v>
      </c>
      <c r="J86" s="43">
        <f>IF(ISBLANK(Projection!P83), "", Projection!P83)</f>
        <v>736806.508</v>
      </c>
      <c r="K86" s="43">
        <f>IF(ISBLANK('Committed Cost'!P83), "", 'Committed Cost'!P83)</f>
        <v>736806.00775</v>
      </c>
      <c r="L86" s="37">
        <f>IFERROR(IF(ISBLANK(F86), "", K86/F86), 0)</f>
        <v>2.0040471874313</v>
      </c>
      <c r="M86" s="43">
        <f>IF(F86="", "", F86-K86)</f>
        <v>-369146.99634</v>
      </c>
      <c r="N86" s="43">
        <f>IF(ISBLANK(Accrual!P83), "", Accrual!P83)</f>
        <v>556538.20619</v>
      </c>
      <c r="O86" s="43">
        <f>IF(ISBLANK('Cash Flow'!P83), "",'Cash Flow'!P83)</f>
        <v>485752.08611</v>
      </c>
      <c r="P86" s="37">
        <f>IFERROR(IF(O86="", "", O86/K86), 0)</f>
        <v>0.65926727116864</v>
      </c>
      <c r="Q86" s="44">
        <f>IF(K86="", "", K86-O86)</f>
        <v>251053.92164</v>
      </c>
    </row>
    <row r="87" spans="1:18" customHeight="1" ht="12.75">
      <c r="A87" s="18" t="s">
        <v>166</v>
      </c>
      <c r="B87" s="4" t="s">
        <v>167</v>
      </c>
      <c r="C87" s="43">
        <v>0</v>
      </c>
      <c r="D87" s="43">
        <v>0</v>
      </c>
      <c r="E87" s="43">
        <v>0</v>
      </c>
      <c r="F87" s="43">
        <f>D87+E87</f>
        <v>0</v>
      </c>
      <c r="G87" s="43">
        <v>74804.75</v>
      </c>
      <c r="H87" s="43">
        <v>74804.75</v>
      </c>
      <c r="I87" s="43">
        <f>IF(H87="", "", J87-H87)</f>
        <v>21566</v>
      </c>
      <c r="J87" s="43">
        <f>IF(ISBLANK(Projection!P84), "", Projection!P84)</f>
        <v>96370.75</v>
      </c>
      <c r="K87" s="43">
        <f>IF(ISBLANK('Committed Cost'!P84), "", 'Committed Cost'!P84)</f>
        <v>95125.89864</v>
      </c>
      <c r="L87" s="37">
        <f>IFERROR(IF(ISBLANK(F87), "", K87/F87), 0)</f>
        <v>0</v>
      </c>
      <c r="M87" s="43">
        <f>IF(F87="", "", F87-K87)</f>
        <v>-95125.89864</v>
      </c>
      <c r="N87" s="43">
        <f>IF(ISBLANK(Accrual!P84), "", Accrual!P84)</f>
        <v>59250.94722</v>
      </c>
      <c r="O87" s="43">
        <f>IF(ISBLANK('Cash Flow'!P84), "",'Cash Flow'!P84)</f>
        <v>44414.85586</v>
      </c>
      <c r="P87" s="37">
        <f>IFERROR(IF(O87="", "", O87/K87), 0)</f>
        <v>0.46690603184824</v>
      </c>
      <c r="Q87" s="44">
        <f>IF(K87="", "", K87-O87)</f>
        <v>50711.04278</v>
      </c>
    </row>
    <row r="88" spans="1:18" customHeight="1" ht="12.75" hidden="true">
      <c r="A88" s="18" t="s">
        <v>168</v>
      </c>
      <c r="B88" s="4" t="s">
        <v>169</v>
      </c>
      <c r="C88" s="43">
        <v>0</v>
      </c>
      <c r="D88" s="43">
        <v>0</v>
      </c>
      <c r="E88" s="43">
        <v>0</v>
      </c>
      <c r="F88" s="43">
        <f>D88+E88</f>
        <v>0</v>
      </c>
      <c r="G88" s="43">
        <v>0</v>
      </c>
      <c r="H88" s="43">
        <v>0</v>
      </c>
      <c r="I88" s="43">
        <f>IF(H88="", "", J88-H88)</f>
        <v>0</v>
      </c>
      <c r="J88" s="43">
        <f>IF(ISBLANK(Projection!P85), "", Projection!P85)</f>
        <v>0</v>
      </c>
      <c r="K88" s="43">
        <f>IF(ISBLANK('Committed Cost'!P85), "", 'Committed Cost'!P85)</f>
        <v>0</v>
      </c>
      <c r="L88" s="37">
        <f>IFERROR(IF(ISBLANK(F88), "", K88/F88), 0)</f>
        <v>0</v>
      </c>
      <c r="M88" s="43">
        <f>IF(F88="", "", F88-K88)</f>
        <v>0</v>
      </c>
      <c r="N88" s="43">
        <f>IF(ISBLANK(Accrual!P85), "", Accrual!P85)</f>
        <v>0</v>
      </c>
      <c r="O88" s="43">
        <f>IF(ISBLANK('Cash Flow'!P85), "",'Cash Flow'!P85)</f>
        <v>0</v>
      </c>
      <c r="P88" s="37">
        <f>IFERROR(IF(O88="", "", O88/K88), 0)</f>
        <v>0</v>
      </c>
      <c r="Q88" s="44">
        <f>IF(K88="", "", K88-O88)</f>
        <v>0</v>
      </c>
    </row>
    <row r="89" spans="1:18" customHeight="1" ht="12.75">
      <c r="A89" s="18" t="s">
        <v>170</v>
      </c>
      <c r="B89" s="4" t="s">
        <v>171</v>
      </c>
      <c r="C89" s="43">
        <v>0.0</v>
      </c>
      <c r="D89" s="43">
        <v>0.0</v>
      </c>
      <c r="E89" s="43">
        <v>0.0</v>
      </c>
      <c r="F89" s="43">
        <f>D89+E89</f>
        <v>0</v>
      </c>
      <c r="G89" s="43">
        <v>0</v>
      </c>
      <c r="H89" s="43">
        <v>0</v>
      </c>
      <c r="I89" s="43">
        <f>IF(H89="", "", J89-H89)</f>
        <v>0</v>
      </c>
      <c r="J89" s="43">
        <f>IF(ISBLANK(Projection!P86), "", Projection!P86)</f>
        <v>0</v>
      </c>
      <c r="K89" s="43">
        <f>IF(ISBLANK('Committed Cost'!P86), "", 'Committed Cost'!P86)</f>
        <v>0</v>
      </c>
      <c r="L89" s="37">
        <f>IFERROR(IF(ISBLANK(F89), "", K89/F89), 0)</f>
        <v>0</v>
      </c>
      <c r="M89" s="43">
        <f>IF(F89="", "", F89-K89)</f>
        <v>0</v>
      </c>
      <c r="N89" s="43">
        <f>IF(ISBLANK(Accrual!P86), "", Accrual!P86)</f>
        <v>139262.69521</v>
      </c>
      <c r="O89" s="43">
        <f>IF(ISBLANK('Cash Flow'!P86), "",'Cash Flow'!P86)</f>
        <v>139090.99688</v>
      </c>
      <c r="P89" s="37">
        <f>IFERROR(IF(O89="", "", O89/K89), 0)</f>
        <v>0</v>
      </c>
      <c r="Q89" s="44">
        <f>IF(K89="", "", K89-O89)</f>
        <v>-139090.99688</v>
      </c>
    </row>
    <row r="90" spans="1:18" customHeight="1" ht="12.75">
      <c r="A90" s="18" t="s">
        <v>172</v>
      </c>
      <c r="B90" s="4" t="s">
        <v>173</v>
      </c>
      <c r="C90" s="43">
        <v>0.0</v>
      </c>
      <c r="D90" s="43">
        <v>0.0</v>
      </c>
      <c r="E90" s="43">
        <v>0.0</v>
      </c>
      <c r="F90" s="43">
        <f>D90+E90</f>
        <v>0</v>
      </c>
      <c r="G90" s="43">
        <v>0</v>
      </c>
      <c r="H90" s="43">
        <v>0</v>
      </c>
      <c r="I90" s="43">
        <f>IF(H90="", "", J90-H90)</f>
        <v>0</v>
      </c>
      <c r="J90" s="43">
        <f>IF(ISBLANK(Projection!P87), "", Projection!P87)</f>
        <v>0</v>
      </c>
      <c r="K90" s="43">
        <f>IF(ISBLANK('Committed Cost'!P87), "", 'Committed Cost'!P87)</f>
        <v>0</v>
      </c>
      <c r="L90" s="37">
        <f>IFERROR(IF(ISBLANK(F90), "", K90/F90), 0)</f>
        <v>0</v>
      </c>
      <c r="M90" s="43">
        <f>IF(F90="", "", F90-K90)</f>
        <v>0</v>
      </c>
      <c r="N90" s="43">
        <f>IF(ISBLANK(Accrual!P87), "", Accrual!P87)</f>
        <v>0</v>
      </c>
      <c r="O90" s="43">
        <f>IF(ISBLANK('Cash Flow'!P87), "",'Cash Flow'!P87)</f>
        <v>583.239</v>
      </c>
      <c r="P90" s="37">
        <f>IFERROR(IF(O90="", "", O90/K90), 0)</f>
        <v>0</v>
      </c>
      <c r="Q90" s="44">
        <f>IF(K90="", "", K90-O90)</f>
        <v>-583.239</v>
      </c>
    </row>
    <row r="91" spans="1:18" customHeight="1" ht="12.75">
      <c r="A91" s="18" t="s">
        <v>174</v>
      </c>
      <c r="B91" s="4" t="s">
        <v>175</v>
      </c>
      <c r="C91" s="43">
        <v>0.0</v>
      </c>
      <c r="D91" s="43">
        <v>0.0</v>
      </c>
      <c r="E91" s="43">
        <v>0.0</v>
      </c>
      <c r="F91" s="43">
        <f>D91+E91</f>
        <v>0</v>
      </c>
      <c r="G91" s="43">
        <v>0</v>
      </c>
      <c r="H91" s="43">
        <v>0</v>
      </c>
      <c r="I91" s="43">
        <f>IF(H91="", "", J91-H91)</f>
        <v>0</v>
      </c>
      <c r="J91" s="43">
        <f>IF(ISBLANK(Projection!P88), "", Projection!P88)</f>
        <v>0</v>
      </c>
      <c r="K91" s="43">
        <f>IF(ISBLANK('Committed Cost'!P88), "", 'Committed Cost'!P88)</f>
        <v>0</v>
      </c>
      <c r="L91" s="37">
        <f>IFERROR(IF(ISBLANK(F91), "", K91/F91), 0)</f>
        <v>0</v>
      </c>
      <c r="M91" s="43">
        <f>IF(F91="", "", F91-K91)</f>
        <v>0</v>
      </c>
      <c r="N91" s="43">
        <f>IF(ISBLANK(Accrual!P88), "", Accrual!P88)</f>
        <v>0</v>
      </c>
      <c r="O91" s="43">
        <f>IF(ISBLANK('Cash Flow'!P88), "",'Cash Flow'!P88)</f>
        <v>-36380.19299</v>
      </c>
      <c r="P91" s="37">
        <f>IFERROR(IF(O91="", "", O91/K91), 0)</f>
        <v>0</v>
      </c>
      <c r="Q91" s="44">
        <f>IF(K91="", "", K91-O91)</f>
        <v>36380.19299</v>
      </c>
    </row>
    <row r="92" spans="1:18" customHeight="1" ht="12.75">
      <c r="A92" s="18" t="s">
        <v>176</v>
      </c>
      <c r="B92" s="4" t="s">
        <v>177</v>
      </c>
      <c r="C92" s="43">
        <v>0</v>
      </c>
      <c r="D92" s="43">
        <v>0</v>
      </c>
      <c r="E92" s="43">
        <v>0</v>
      </c>
      <c r="F92" s="43">
        <f>D92+E92</f>
        <v>0</v>
      </c>
      <c r="G92" s="43">
        <v>-147384</v>
      </c>
      <c r="H92" s="43">
        <v>-164924</v>
      </c>
      <c r="I92" s="43">
        <f>IF(H92="", "", J92-H92)</f>
        <v>-148429.192</v>
      </c>
      <c r="J92" s="43">
        <f>IF(ISBLANK(Projection!P89), "", Projection!P89)</f>
        <v>-313353.192</v>
      </c>
      <c r="K92" s="43">
        <f>IF(ISBLANK('Committed Cost'!P89), "", 'Committed Cost'!P89)</f>
        <v>0</v>
      </c>
      <c r="L92" s="37">
        <f>IFERROR(IF(ISBLANK(F92), "", K92/F92), 0)</f>
        <v>0</v>
      </c>
      <c r="M92" s="43">
        <f>IF(F92="", "", F92-K92)</f>
        <v>0</v>
      </c>
      <c r="N92" s="43">
        <f>IF(ISBLANK(Accrual!P89), "", Accrual!P89)</f>
        <v>0</v>
      </c>
      <c r="O92" s="43">
        <f>IF(ISBLANK('Cash Flow'!P89), "",'Cash Flow'!P89)</f>
        <v>0</v>
      </c>
      <c r="P92" s="37">
        <f>IFERROR(IF(O92="", "", O92/K92), 0)</f>
        <v>0</v>
      </c>
      <c r="Q92" s="44">
        <f>IF(K92="", "", K92-O92)</f>
        <v>0</v>
      </c>
    </row>
    <row r="93" spans="1:18" customHeight="1" ht="12.75">
      <c r="A93" s="18" t="s">
        <v>178</v>
      </c>
      <c r="B93" s="4" t="s">
        <v>179</v>
      </c>
      <c r="C93" s="43">
        <v>0.0</v>
      </c>
      <c r="D93" s="43">
        <v>0.0</v>
      </c>
      <c r="E93" s="43">
        <v>0.0</v>
      </c>
      <c r="F93" s="43">
        <f>D93+E93</f>
        <v>0</v>
      </c>
      <c r="G93" s="43">
        <v>0</v>
      </c>
      <c r="H93" s="43">
        <v>0</v>
      </c>
      <c r="I93" s="43">
        <f>IF(H93="", "", J93-H93)</f>
        <v>0</v>
      </c>
      <c r="J93" s="43">
        <f>IF(ISBLANK(Projection!P90), "", Projection!P90)</f>
        <v>0</v>
      </c>
      <c r="K93" s="43">
        <f>IF(ISBLANK('Committed Cost'!P90), "", 'Committed Cost'!P90)</f>
        <v>0</v>
      </c>
      <c r="L93" s="37">
        <f>IFERROR(IF(ISBLANK(F93), "", K93/F93), 0)</f>
        <v>0</v>
      </c>
      <c r="M93" s="43">
        <f>IF(F93="", "", F93-K93)</f>
        <v>0</v>
      </c>
      <c r="N93" s="43">
        <f>IF(ISBLANK(Accrual!P90), "", Accrual!P90)</f>
        <v>-23711.94907</v>
      </c>
      <c r="O93" s="43">
        <f>IF(ISBLANK('Cash Flow'!P90), "",'Cash Flow'!P90)</f>
        <v>-11551.27973</v>
      </c>
      <c r="P93" s="37">
        <f>IFERROR(IF(O93="", "", O93/K93), 0)</f>
        <v>0</v>
      </c>
      <c r="Q93" s="44">
        <f>IF(K93="", "", K93-O93)</f>
        <v>11551.27973</v>
      </c>
    </row>
    <row r="94" spans="1:18" customHeight="1" ht="12.75" hidden="true">
      <c r="A94" s="18" t="s">
        <v>180</v>
      </c>
      <c r="B94" s="4" t="s">
        <v>181</v>
      </c>
      <c r="C94" s="43">
        <v>0</v>
      </c>
      <c r="D94" s="43">
        <v>0</v>
      </c>
      <c r="E94" s="43">
        <v>0</v>
      </c>
      <c r="F94" s="43">
        <f>D94+E94</f>
        <v>0</v>
      </c>
      <c r="G94" s="43">
        <v>0</v>
      </c>
      <c r="H94" s="43">
        <v>0</v>
      </c>
      <c r="I94" s="43">
        <f>IF(H94="", "", J94-H94)</f>
        <v>0</v>
      </c>
      <c r="J94" s="43">
        <f>IF(ISBLANK(Projection!P91), "", Projection!P91)</f>
        <v>0</v>
      </c>
      <c r="K94" s="43">
        <f>IF(ISBLANK('Committed Cost'!P91), "", 'Committed Cost'!P91)</f>
        <v>0</v>
      </c>
      <c r="L94" s="37">
        <f>IFERROR(IF(ISBLANK(F94), "", K94/F94), 0)</f>
        <v>0</v>
      </c>
      <c r="M94" s="43">
        <f>IF(F94="", "", F94-K94)</f>
        <v>0</v>
      </c>
      <c r="N94" s="43">
        <f>IF(ISBLANK(Accrual!P91), "", Accrual!P91)</f>
        <v>0</v>
      </c>
      <c r="O94" s="43">
        <f>IF(ISBLANK('Cash Flow'!P91), "",'Cash Flow'!P91)</f>
        <v>0</v>
      </c>
      <c r="P94" s="37">
        <f>IFERROR(IF(O94="", "", O94/K94), 0)</f>
        <v>0</v>
      </c>
      <c r="Q94" s="44">
        <f>IF(K94="", "", K94-O94)</f>
        <v>0</v>
      </c>
    </row>
    <row r="95" spans="1:18" customHeight="1" ht="12.75">
      <c r="A95" s="18">
        <v>2.5</v>
      </c>
      <c r="B95" s="4" t="s">
        <v>182</v>
      </c>
      <c r="C95" s="43">
        <v>0.0</v>
      </c>
      <c r="D95" s="43">
        <v>0.0</v>
      </c>
      <c r="E95" s="43">
        <v>0.0</v>
      </c>
      <c r="F95" s="43">
        <f>D95+E95</f>
        <v>0</v>
      </c>
      <c r="G95" s="43">
        <v>8421</v>
      </c>
      <c r="H95" s="43">
        <v>144314</v>
      </c>
      <c r="I95" s="43">
        <f>IF(H95="", "", J95-H95)</f>
        <v>3627</v>
      </c>
      <c r="J95" s="43">
        <f>IF(ISBLANK(Projection!P92), "", Projection!P92)</f>
        <v>147941</v>
      </c>
      <c r="K95" s="43">
        <f>IF(ISBLANK('Committed Cost'!P92), "", 'Committed Cost'!P92)</f>
        <v>147940.46005</v>
      </c>
      <c r="L95" s="37">
        <f>IFERROR(IF(ISBLANK(F95), "", K95/F95), 0)</f>
        <v>0</v>
      </c>
      <c r="M95" s="43">
        <f>IF(F95="", "", F95-K95)</f>
        <v>-147940.46005</v>
      </c>
      <c r="N95" s="43">
        <f>IF(ISBLANK(Accrual!P92), "", Accrual!P92)</f>
        <v>147940.46005</v>
      </c>
      <c r="O95" s="43">
        <f>IF(ISBLANK('Cash Flow'!P92), "",'Cash Flow'!P92)</f>
        <v>147940.81255</v>
      </c>
      <c r="P95" s="37">
        <f>IFERROR(IF(O95="", "", O95/K95), 0)</f>
        <v>1.0000023827153</v>
      </c>
      <c r="Q95" s="44">
        <f>IF(K95="", "", K95-O95)</f>
        <v>-0.35250000000815</v>
      </c>
    </row>
    <row r="96" spans="1:18" customHeight="1" ht="12.75">
      <c r="A96" s="18">
        <v>2.6</v>
      </c>
      <c r="B96" s="4" t="s">
        <v>183</v>
      </c>
      <c r="C96" s="43"/>
      <c r="D96" s="43"/>
      <c r="E96" s="43"/>
      <c r="F96" s="43"/>
      <c r="G96" s="43"/>
      <c r="H96" s="43"/>
      <c r="I96" s="43" t="str">
        <f>IF(H96="", "", J96-H96)</f>
        <v/>
      </c>
      <c r="J96" s="43" t="str">
        <f>IF(ISBLANK(Projection!P93), "", Projection!P93)</f>
        <v/>
      </c>
      <c r="K96" s="43" t="str">
        <f>IF(ISBLANK('Committed Cost'!P93), "", 'Committed Cost'!P93)</f>
        <v/>
      </c>
      <c r="L96" s="37" t="str">
        <f>IFERROR(IF(ISBLANK(F96), "", K96/F96), 0)</f>
        <v/>
      </c>
      <c r="M96" s="43" t="str">
        <f>IF(F96="", "", F96-K96)</f>
        <v/>
      </c>
      <c r="N96" s="43" t="str">
        <f>IF(ISBLANK(Accrual!P93), "", Accrual!P93)</f>
        <v/>
      </c>
      <c r="O96" s="43" t="str">
        <f>IF(ISBLANK('Cash Flow'!P93), "",'Cash Flow'!P93)</f>
        <v/>
      </c>
      <c r="P96" s="37" t="str">
        <f>IFERROR(IF(O96="", "", O96/K96), 0)</f>
        <v/>
      </c>
      <c r="Q96" s="44" t="str">
        <f>IF(K96="", "", K96-O96)</f>
        <v/>
      </c>
    </row>
    <row r="97" spans="1:18" customHeight="1" ht="12.75" hidden="true">
      <c r="A97" s="18" t="s">
        <v>184</v>
      </c>
      <c r="B97" s="4" t="s">
        <v>185</v>
      </c>
      <c r="C97" s="43">
        <v>0</v>
      </c>
      <c r="D97" s="43">
        <v>0</v>
      </c>
      <c r="E97" s="43">
        <v>0</v>
      </c>
      <c r="F97" s="43">
        <f>D97+E97</f>
        <v>0</v>
      </c>
      <c r="G97" s="43">
        <v>0</v>
      </c>
      <c r="H97" s="43">
        <v>0</v>
      </c>
      <c r="I97" s="43">
        <f>IF(H97="", "", J97-H97)</f>
        <v>0</v>
      </c>
      <c r="J97" s="43">
        <f>IF(ISBLANK(Projection!P94), "", Projection!P94)</f>
        <v>0</v>
      </c>
      <c r="K97" s="43">
        <f>IF(ISBLANK('Committed Cost'!P94), "", 'Committed Cost'!P94)</f>
        <v>0</v>
      </c>
      <c r="L97" s="37">
        <f>IFERROR(IF(ISBLANK(F97), "", K97/F97), 0)</f>
        <v>0</v>
      </c>
      <c r="M97" s="43">
        <f>IF(F97="", "", F97-K97)</f>
        <v>0</v>
      </c>
      <c r="N97" s="43">
        <f>IF(ISBLANK(Accrual!P94), "", Accrual!P94)</f>
        <v>0</v>
      </c>
      <c r="O97" s="43">
        <f>IF(ISBLANK('Cash Flow'!P94), "",'Cash Flow'!P94)</f>
        <v>0</v>
      </c>
      <c r="P97" s="37">
        <f>IFERROR(IF(O97="", "", O97/K97), 0)</f>
        <v>0</v>
      </c>
      <c r="Q97" s="44">
        <f>IF(K97="", "", K97-O97)</f>
        <v>0</v>
      </c>
    </row>
    <row r="98" spans="1:18" customHeight="1" ht="12.75" hidden="true">
      <c r="A98" s="18" t="s">
        <v>186</v>
      </c>
      <c r="B98" s="4" t="s">
        <v>187</v>
      </c>
      <c r="C98" s="43">
        <v>0</v>
      </c>
      <c r="D98" s="43">
        <v>0</v>
      </c>
      <c r="E98" s="43">
        <v>0</v>
      </c>
      <c r="F98" s="43">
        <f>D98+E98</f>
        <v>0</v>
      </c>
      <c r="G98" s="43">
        <v>0</v>
      </c>
      <c r="H98" s="43">
        <v>0</v>
      </c>
      <c r="I98" s="43">
        <f>IF(H98="", "", J98-H98)</f>
        <v>0</v>
      </c>
      <c r="J98" s="43">
        <f>IF(ISBLANK(Projection!P95), "", Projection!P95)</f>
        <v>0</v>
      </c>
      <c r="K98" s="43">
        <f>IF(ISBLANK('Committed Cost'!P95), "", 'Committed Cost'!P95)</f>
        <v>0</v>
      </c>
      <c r="L98" s="37">
        <f>IFERROR(IF(ISBLANK(F98), "", K98/F98), 0)</f>
        <v>0</v>
      </c>
      <c r="M98" s="43">
        <f>IF(F98="", "", F98-K98)</f>
        <v>0</v>
      </c>
      <c r="N98" s="43">
        <f>IF(ISBLANK(Accrual!P95), "", Accrual!P95)</f>
        <v>0</v>
      </c>
      <c r="O98" s="43">
        <f>IF(ISBLANK('Cash Flow'!P95), "",'Cash Flow'!P95)</f>
        <v>0</v>
      </c>
      <c r="P98" s="37">
        <f>IFERROR(IF(O98="", "", O98/K98), 0)</f>
        <v>0</v>
      </c>
      <c r="Q98" s="44">
        <f>IF(K98="", "", K98-O98)</f>
        <v>0</v>
      </c>
    </row>
    <row r="99" spans="1:18" customHeight="1" ht="12.75">
      <c r="A99" s="18">
        <v>2.7</v>
      </c>
      <c r="B99" s="4" t="s">
        <v>188</v>
      </c>
      <c r="C99" s="43">
        <v>0.0</v>
      </c>
      <c r="D99" s="43">
        <v>0.0</v>
      </c>
      <c r="E99" s="43">
        <v>0.0</v>
      </c>
      <c r="F99" s="43">
        <f>D99+E99</f>
        <v>0</v>
      </c>
      <c r="G99" s="43">
        <v>0.02</v>
      </c>
      <c r="H99" s="43">
        <v>0.02</v>
      </c>
      <c r="I99" s="43">
        <f>IF(H99="", "", J99-H99)</f>
        <v>0</v>
      </c>
      <c r="J99" s="43">
        <f>IF(ISBLANK(Projection!P96), "", Projection!P96)</f>
        <v>0.02</v>
      </c>
      <c r="K99" s="43">
        <f>IF(ISBLANK('Committed Cost'!P96), "", 'Committed Cost'!P96)</f>
        <v>0</v>
      </c>
      <c r="L99" s="37">
        <f>IFERROR(IF(ISBLANK(F99), "", K99/F99), 0)</f>
        <v>0</v>
      </c>
      <c r="M99" s="43">
        <f>IF(F99="", "", F99-K99)</f>
        <v>0</v>
      </c>
      <c r="N99" s="43">
        <f>IF(ISBLANK(Accrual!P96), "", Accrual!P96)</f>
        <v>0</v>
      </c>
      <c r="O99" s="43">
        <f>IF(ISBLANK('Cash Flow'!P96), "",'Cash Flow'!P96)</f>
        <v>0</v>
      </c>
      <c r="P99" s="37">
        <f>IFERROR(IF(O99="", "", O99/K99), 0)</f>
        <v>0</v>
      </c>
      <c r="Q99" s="44">
        <f>IF(K99="", "", K99-O99)</f>
        <v>0</v>
      </c>
    </row>
    <row r="100" spans="1:18" customHeight="1" ht="12.75" hidden="true">
      <c r="A100" s="18">
        <v>2.8</v>
      </c>
      <c r="B100" s="4" t="s">
        <v>189</v>
      </c>
      <c r="C100" s="43">
        <v>0</v>
      </c>
      <c r="D100" s="43">
        <v>0</v>
      </c>
      <c r="E100" s="43">
        <v>0</v>
      </c>
      <c r="F100" s="43">
        <f>D100+E100</f>
        <v>0</v>
      </c>
      <c r="G100" s="43">
        <v>0</v>
      </c>
      <c r="H100" s="43">
        <v>0</v>
      </c>
      <c r="I100" s="43">
        <f>IF(H100="", "", J100-H100)</f>
        <v>0</v>
      </c>
      <c r="J100" s="43">
        <f>IF(ISBLANK(Projection!P97), "", Projection!P97)</f>
        <v>0</v>
      </c>
      <c r="K100" s="43">
        <f>IF(ISBLANK('Committed Cost'!P97), "", 'Committed Cost'!P97)</f>
        <v>0</v>
      </c>
      <c r="L100" s="37">
        <f>IFERROR(IF(ISBLANK(F100), "", K100/F100), 0)</f>
        <v>0</v>
      </c>
      <c r="M100" s="43">
        <f>IF(F100="", "", F100-K100)</f>
        <v>0</v>
      </c>
      <c r="N100" s="43">
        <f>IF(ISBLANK(Accrual!P97), "", Accrual!P97)</f>
        <v>0</v>
      </c>
      <c r="O100" s="43">
        <f>IF(ISBLANK('Cash Flow'!P97), "",'Cash Flow'!P97)</f>
        <v>0</v>
      </c>
      <c r="P100" s="37">
        <f>IFERROR(IF(O100="", "", O100/K100), 0)</f>
        <v>0</v>
      </c>
      <c r="Q100" s="44">
        <f>IF(K100="", "", K100-O100)</f>
        <v>0</v>
      </c>
    </row>
    <row r="101" spans="1:18" customHeight="1" ht="12.75" hidden="true">
      <c r="A101" s="18">
        <v>2.9</v>
      </c>
      <c r="B101" s="4" t="s">
        <v>190</v>
      </c>
      <c r="C101" s="43">
        <v>0</v>
      </c>
      <c r="D101" s="43">
        <v>0</v>
      </c>
      <c r="E101" s="43">
        <v>0</v>
      </c>
      <c r="F101" s="43">
        <f>D101+E101</f>
        <v>0</v>
      </c>
      <c r="G101" s="43">
        <v>0</v>
      </c>
      <c r="H101" s="43">
        <v>0</v>
      </c>
      <c r="I101" s="43">
        <f>IF(H101="", "", J101-H101)</f>
        <v>0</v>
      </c>
      <c r="J101" s="43">
        <f>IF(ISBLANK(Projection!P98), "", Projection!P98)</f>
        <v>0</v>
      </c>
      <c r="K101" s="43">
        <f>IF(ISBLANK('Committed Cost'!P98), "", 'Committed Cost'!P98)</f>
        <v>0</v>
      </c>
      <c r="L101" s="37">
        <f>IFERROR(IF(ISBLANK(F101), "", K101/F101), 0)</f>
        <v>0</v>
      </c>
      <c r="M101" s="43">
        <f>IF(F101="", "", F101-K101)</f>
        <v>0</v>
      </c>
      <c r="N101" s="43">
        <f>IF(ISBLANK(Accrual!P98), "", Accrual!P98)</f>
        <v>0</v>
      </c>
      <c r="O101" s="43">
        <f>IF(ISBLANK('Cash Flow'!P98), "",'Cash Flow'!P98)</f>
        <v>0</v>
      </c>
      <c r="P101" s="37">
        <f>IFERROR(IF(O101="", "", O101/K101), 0)</f>
        <v>0</v>
      </c>
      <c r="Q101" s="44">
        <f>IF(K101="", "", K101-O101)</f>
        <v>0</v>
      </c>
    </row>
    <row r="102" spans="1:18" customHeight="1" ht="12.75" hidden="true">
      <c r="A102" s="18" t="s">
        <v>191</v>
      </c>
      <c r="B102" s="4" t="s">
        <v>192</v>
      </c>
      <c r="C102" s="43">
        <v>0</v>
      </c>
      <c r="D102" s="43">
        <v>0</v>
      </c>
      <c r="E102" s="43">
        <v>0</v>
      </c>
      <c r="F102" s="43">
        <f>D102+E102</f>
        <v>0</v>
      </c>
      <c r="G102" s="43">
        <v>0</v>
      </c>
      <c r="H102" s="43">
        <v>0</v>
      </c>
      <c r="I102" s="43">
        <f>IF(H102="", "", J102-H102)</f>
        <v>0</v>
      </c>
      <c r="J102" s="43">
        <f>IF(ISBLANK(Projection!P99), "", Projection!P99)</f>
        <v>0</v>
      </c>
      <c r="K102" s="43">
        <f>IF(ISBLANK('Committed Cost'!P99), "", 'Committed Cost'!P99)</f>
        <v>0</v>
      </c>
      <c r="L102" s="37">
        <f>IFERROR(IF(ISBLANK(F102), "", K102/F102), 0)</f>
        <v>0</v>
      </c>
      <c r="M102" s="43">
        <f>IF(F102="", "", F102-K102)</f>
        <v>0</v>
      </c>
      <c r="N102" s="43">
        <f>IF(ISBLANK(Accrual!P99), "", Accrual!P99)</f>
        <v>0</v>
      </c>
      <c r="O102" s="43">
        <f>IF(ISBLANK('Cash Flow'!P99), "",'Cash Flow'!P99)</f>
        <v>0</v>
      </c>
      <c r="P102" s="37">
        <f>IFERROR(IF(O102="", "", O102/K102), 0)</f>
        <v>0</v>
      </c>
      <c r="Q102" s="44">
        <f>IF(K102="", "", K102-O102)</f>
        <v>0</v>
      </c>
    </row>
    <row r="103" spans="1:18" customHeight="1" ht="12.75">
      <c r="A103" s="18">
        <v>2.11</v>
      </c>
      <c r="B103" s="4" t="s">
        <v>193</v>
      </c>
      <c r="C103" s="43"/>
      <c r="D103" s="43"/>
      <c r="E103" s="43"/>
      <c r="F103" s="43"/>
      <c r="G103" s="43"/>
      <c r="H103" s="43"/>
      <c r="I103" s="43" t="str">
        <f>IF(H103="", "", J103-H103)</f>
        <v/>
      </c>
      <c r="J103" s="43" t="str">
        <f>IF(ISBLANK(Projection!P100), "", Projection!P100)</f>
        <v/>
      </c>
      <c r="K103" s="43" t="str">
        <f>IF(ISBLANK('Committed Cost'!P100), "", 'Committed Cost'!P100)</f>
        <v/>
      </c>
      <c r="L103" s="37" t="str">
        <f>IFERROR(IF(ISBLANK(F103), "", K103/F103), 0)</f>
        <v/>
      </c>
      <c r="M103" s="43" t="str">
        <f>IF(F103="", "", F103-K103)</f>
        <v/>
      </c>
      <c r="N103" s="43" t="str">
        <f>IF(ISBLANK(Accrual!P100), "", Accrual!P100)</f>
        <v/>
      </c>
      <c r="O103" s="43" t="str">
        <f>IF(ISBLANK('Cash Flow'!P100), "",'Cash Flow'!P100)</f>
        <v/>
      </c>
      <c r="P103" s="37" t="str">
        <f>IFERROR(IF(O103="", "", O103/K103), 0)</f>
        <v/>
      </c>
      <c r="Q103" s="44" t="str">
        <f>IF(K103="", "", K103-O103)</f>
        <v/>
      </c>
    </row>
    <row r="104" spans="1:18" customHeight="1" ht="12.75" hidden="true">
      <c r="A104" s="18" t="s">
        <v>194</v>
      </c>
      <c r="B104" s="4" t="s">
        <v>195</v>
      </c>
      <c r="C104" s="43">
        <v>0</v>
      </c>
      <c r="D104" s="43">
        <v>0</v>
      </c>
      <c r="E104" s="43">
        <v>0</v>
      </c>
      <c r="F104" s="43">
        <f>D104+E104</f>
        <v>0</v>
      </c>
      <c r="G104" s="43">
        <v>0</v>
      </c>
      <c r="H104" s="43">
        <v>0</v>
      </c>
      <c r="I104" s="43">
        <f>IF(H104="", "", J104-H104)</f>
        <v>0</v>
      </c>
      <c r="J104" s="43">
        <f>IF(ISBLANK(Projection!P101), "", Projection!P101)</f>
        <v>0</v>
      </c>
      <c r="K104" s="43">
        <f>IF(ISBLANK('Committed Cost'!P101), "", 'Committed Cost'!P101)</f>
        <v>0</v>
      </c>
      <c r="L104" s="37">
        <f>IFERROR(IF(ISBLANK(F104), "", K104/F104), 0)</f>
        <v>0</v>
      </c>
      <c r="M104" s="43">
        <f>IF(F104="", "", F104-K104)</f>
        <v>0</v>
      </c>
      <c r="N104" s="43">
        <f>IF(ISBLANK(Accrual!P101), "", Accrual!P101)</f>
        <v>0</v>
      </c>
      <c r="O104" s="43">
        <f>IF(ISBLANK('Cash Flow'!P101), "",'Cash Flow'!P101)</f>
        <v>0</v>
      </c>
      <c r="P104" s="37">
        <f>IFERROR(IF(O104="", "", O104/K104), 0)</f>
        <v>0</v>
      </c>
      <c r="Q104" s="44">
        <f>IF(K104="", "", K104-O104)</f>
        <v>0</v>
      </c>
    </row>
    <row r="105" spans="1:18" customHeight="1" ht="12.75" hidden="true">
      <c r="A105" s="18" t="s">
        <v>196</v>
      </c>
      <c r="B105" s="4" t="s">
        <v>197</v>
      </c>
      <c r="C105" s="43">
        <v>0</v>
      </c>
      <c r="D105" s="43">
        <v>0</v>
      </c>
      <c r="E105" s="43">
        <v>0</v>
      </c>
      <c r="F105" s="43">
        <f>D105+E105</f>
        <v>0</v>
      </c>
      <c r="G105" s="43">
        <v>0</v>
      </c>
      <c r="H105" s="43">
        <v>0</v>
      </c>
      <c r="I105" s="43">
        <f>IF(H105="", "", J105-H105)</f>
        <v>0</v>
      </c>
      <c r="J105" s="43">
        <f>IF(ISBLANK(Projection!P102), "", Projection!P102)</f>
        <v>0</v>
      </c>
      <c r="K105" s="43">
        <f>IF(ISBLANK('Committed Cost'!P102), "", 'Committed Cost'!P102)</f>
        <v>0</v>
      </c>
      <c r="L105" s="37">
        <f>IFERROR(IF(ISBLANK(F105), "", K105/F105), 0)</f>
        <v>0</v>
      </c>
      <c r="M105" s="43">
        <f>IF(F105="", "", F105-K105)</f>
        <v>0</v>
      </c>
      <c r="N105" s="43">
        <f>IF(ISBLANK(Accrual!P102), "", Accrual!P102)</f>
        <v>0</v>
      </c>
      <c r="O105" s="43">
        <f>IF(ISBLANK('Cash Flow'!P102), "",'Cash Flow'!P102)</f>
        <v>0</v>
      </c>
      <c r="P105" s="37">
        <f>IFERROR(IF(O105="", "", O105/K105), 0)</f>
        <v>0</v>
      </c>
      <c r="Q105" s="44">
        <f>IF(K105="", "", K105-O105)</f>
        <v>0</v>
      </c>
    </row>
    <row r="106" spans="1:18" customHeight="1" ht="12.75" hidden="true">
      <c r="A106" s="18" t="s">
        <v>198</v>
      </c>
      <c r="B106" s="4" t="s">
        <v>199</v>
      </c>
      <c r="C106" s="43">
        <v>0</v>
      </c>
      <c r="D106" s="43">
        <v>0</v>
      </c>
      <c r="E106" s="43">
        <v>0</v>
      </c>
      <c r="F106" s="43">
        <f>D106+E106</f>
        <v>0</v>
      </c>
      <c r="G106" s="43">
        <v>0</v>
      </c>
      <c r="H106" s="43">
        <v>0</v>
      </c>
      <c r="I106" s="43">
        <f>IF(H106="", "", J106-H106)</f>
        <v>0</v>
      </c>
      <c r="J106" s="43">
        <f>IF(ISBLANK(Projection!P103), "", Projection!P103)</f>
        <v>0</v>
      </c>
      <c r="K106" s="43">
        <f>IF(ISBLANK('Committed Cost'!P103), "", 'Committed Cost'!P103)</f>
        <v>0</v>
      </c>
      <c r="L106" s="37">
        <f>IFERROR(IF(ISBLANK(F106), "", K106/F106), 0)</f>
        <v>0</v>
      </c>
      <c r="M106" s="43">
        <f>IF(F106="", "", F106-K106)</f>
        <v>0</v>
      </c>
      <c r="N106" s="43">
        <f>IF(ISBLANK(Accrual!P103), "", Accrual!P103)</f>
        <v>0</v>
      </c>
      <c r="O106" s="43">
        <f>IF(ISBLANK('Cash Flow'!P103), "",'Cash Flow'!P103)</f>
        <v>0</v>
      </c>
      <c r="P106" s="37">
        <f>IFERROR(IF(O106="", "", O106/K106), 0)</f>
        <v>0</v>
      </c>
      <c r="Q106" s="44">
        <f>IF(K106="", "", K106-O106)</f>
        <v>0</v>
      </c>
    </row>
    <row r="107" spans="1:18" customHeight="1" ht="12.75" hidden="true">
      <c r="A107" s="18">
        <v>2.12</v>
      </c>
      <c r="B107" s="4" t="s">
        <v>200</v>
      </c>
      <c r="C107" s="43">
        <v>0</v>
      </c>
      <c r="D107" s="43">
        <v>0</v>
      </c>
      <c r="E107" s="43">
        <v>0</v>
      </c>
      <c r="F107" s="43">
        <f>D107+E107</f>
        <v>0</v>
      </c>
      <c r="G107" s="43">
        <v>0</v>
      </c>
      <c r="H107" s="43">
        <v>0</v>
      </c>
      <c r="I107" s="43">
        <f>IF(H107="", "", J107-H107)</f>
        <v>0</v>
      </c>
      <c r="J107" s="43">
        <f>IF(ISBLANK(Projection!P104), "", Projection!P104)</f>
        <v>0</v>
      </c>
      <c r="K107" s="43">
        <f>IF(ISBLANK('Committed Cost'!P104), "", 'Committed Cost'!P104)</f>
        <v>0</v>
      </c>
      <c r="L107" s="37">
        <f>IFERROR(IF(ISBLANK(F107), "", K107/F107), 0)</f>
        <v>0</v>
      </c>
      <c r="M107" s="43">
        <f>IF(F107="", "", F107-K107)</f>
        <v>0</v>
      </c>
      <c r="N107" s="43">
        <f>IF(ISBLANK(Accrual!P104), "", Accrual!P104)</f>
        <v>0</v>
      </c>
      <c r="O107" s="43">
        <f>IF(ISBLANK('Cash Flow'!P104), "",'Cash Flow'!P104)</f>
        <v>0</v>
      </c>
      <c r="P107" s="37">
        <f>IFERROR(IF(O107="", "", O107/K107), 0)</f>
        <v>0</v>
      </c>
      <c r="Q107" s="44">
        <f>IF(K107="", "", K107-O107)</f>
        <v>0</v>
      </c>
    </row>
    <row r="108" spans="1:18" customHeight="1" ht="12.75" hidden="true">
      <c r="A108" s="18">
        <v>2.13</v>
      </c>
      <c r="B108" s="4" t="s">
        <v>201</v>
      </c>
      <c r="C108" s="43">
        <v>0</v>
      </c>
      <c r="D108" s="43">
        <v>0</v>
      </c>
      <c r="E108" s="43">
        <v>0</v>
      </c>
      <c r="F108" s="43">
        <f>D108+E108</f>
        <v>0</v>
      </c>
      <c r="G108" s="43">
        <v>0</v>
      </c>
      <c r="H108" s="43">
        <v>0</v>
      </c>
      <c r="I108" s="43">
        <f>IF(H108="", "", J108-H108)</f>
        <v>0</v>
      </c>
      <c r="J108" s="43">
        <f>IF(ISBLANK(Projection!P105), "", Projection!P105)</f>
        <v>0</v>
      </c>
      <c r="K108" s="43">
        <f>IF(ISBLANK('Committed Cost'!P105), "", 'Committed Cost'!P105)</f>
        <v>0</v>
      </c>
      <c r="L108" s="37">
        <f>IFERROR(IF(ISBLANK(F108), "", K108/F108), 0)</f>
        <v>0</v>
      </c>
      <c r="M108" s="43">
        <f>IF(F108="", "", F108-K108)</f>
        <v>0</v>
      </c>
      <c r="N108" s="43">
        <f>IF(ISBLANK(Accrual!P105), "", Accrual!P105)</f>
        <v>0</v>
      </c>
      <c r="O108" s="43">
        <f>IF(ISBLANK('Cash Flow'!P105), "",'Cash Flow'!P105)</f>
        <v>0</v>
      </c>
      <c r="P108" s="37">
        <f>IFERROR(IF(O108="", "", O108/K108), 0)</f>
        <v>0</v>
      </c>
      <c r="Q108" s="44">
        <f>IF(K108="", "", K108-O108)</f>
        <v>0</v>
      </c>
    </row>
    <row r="109" spans="1:18" customHeight="1" ht="12.75" hidden="true">
      <c r="A109" s="19">
        <v>2.14</v>
      </c>
      <c r="B109" s="5" t="s">
        <v>202</v>
      </c>
      <c r="C109" s="45">
        <v>0</v>
      </c>
      <c r="D109" s="45">
        <v>0</v>
      </c>
      <c r="E109" s="45">
        <v>0</v>
      </c>
      <c r="F109" s="45">
        <f>D109+E109</f>
        <v>0</v>
      </c>
      <c r="G109" s="45">
        <v>0</v>
      </c>
      <c r="H109" s="45">
        <v>0</v>
      </c>
      <c r="I109" s="45">
        <f>IF(H109="", "", J109-H109)</f>
        <v>0</v>
      </c>
      <c r="J109" s="45">
        <f>IF(ISBLANK(Projection!P106), "", Projection!P106)</f>
        <v>0</v>
      </c>
      <c r="K109" s="45">
        <f>IF(ISBLANK('Committed Cost'!P106), "", 'Committed Cost'!P106)</f>
        <v>0</v>
      </c>
      <c r="L109" s="38">
        <f>IFERROR(IF(ISBLANK(F109), "", K109/F109), 0)</f>
        <v>0</v>
      </c>
      <c r="M109" s="45">
        <f>IF(F109="", "", F109-K109)</f>
        <v>0</v>
      </c>
      <c r="N109" s="43">
        <f>IF(ISBLANK(Accrual!P106), "", Accrual!P106)</f>
        <v>0</v>
      </c>
      <c r="O109" s="43">
        <f>IF(ISBLANK('Cash Flow'!P106), "",'Cash Flow'!P106)</f>
        <v>0</v>
      </c>
      <c r="P109" s="38">
        <f>IFERROR(IF(O109="", "", O109/K109), 0)</f>
        <v>0</v>
      </c>
      <c r="Q109" s="46">
        <f>IF(K109="", "", K109-O109)</f>
        <v>0</v>
      </c>
    </row>
    <row r="110" spans="1:18" customHeight="1" ht="12.75">
      <c r="A110" s="20"/>
      <c r="B110" s="15" t="s">
        <v>203</v>
      </c>
      <c r="C110" s="47">
        <f>SUM(C41:C109)</f>
        <v>471586.03483</v>
      </c>
      <c r="D110" s="47">
        <f>SUM(D41:D109)</f>
        <v>481167.13179</v>
      </c>
      <c r="E110" s="47">
        <f>SUM(E41:E109)</f>
        <v>0</v>
      </c>
      <c r="F110" s="47">
        <f>SUM(F41:F109)</f>
        <v>481167.13179</v>
      </c>
      <c r="G110" s="47">
        <f>SUM(G41:G109)</f>
        <v>1110468.078</v>
      </c>
      <c r="H110" s="47">
        <f>SUM(H41:H109)</f>
        <v>1130502.078</v>
      </c>
      <c r="I110" s="47">
        <f>IF(H110="", "", J110-H110)</f>
        <v>34270.056</v>
      </c>
      <c r="J110" s="47">
        <f>IF(ISBLANK(Projection!P107), "", Projection!P107)</f>
        <v>1164772.134</v>
      </c>
      <c r="K110" s="47">
        <f>IF(ISBLANK('Committed Cost'!P107), "", 'Committed Cost'!P107)</f>
        <v>1453207.52363</v>
      </c>
      <c r="L110" s="39">
        <f>IFERROR(IF(ISBLANK(F110), "", K110/F110), 0)</f>
        <v>3.0201720517025</v>
      </c>
      <c r="M110" s="47">
        <f>IF(F110="", "", F110-K110)</f>
        <v>-972040.39184</v>
      </c>
      <c r="N110" s="47">
        <f>IF(ISBLANK(Accrual!P107), "", Accrual!P107)</f>
        <v>1296272.64132</v>
      </c>
      <c r="O110" s="47">
        <f>IF(ISBLANK('Cash Flow'!P107), "",'Cash Flow'!P107)</f>
        <v>1149457.77651</v>
      </c>
      <c r="P110" s="39">
        <f>IFERROR(IF(O110="", "", O110/K110), 0)</f>
        <v>0.79097978631348</v>
      </c>
      <c r="Q110" s="48">
        <f>IF(K110="", "", K110-O110)</f>
        <v>303749.74712</v>
      </c>
    </row>
    <row r="111" spans="1:18" customHeight="1" ht="12.75">
      <c r="A111" s="18"/>
      <c r="B111" s="4"/>
      <c r="C111" s="43"/>
      <c r="D111" s="43"/>
      <c r="E111" s="43"/>
      <c r="F111" s="43"/>
      <c r="G111" s="43"/>
      <c r="H111" s="43"/>
      <c r="I111" s="43" t="str">
        <f>IF(H111="", "", J111-H111)</f>
        <v/>
      </c>
      <c r="J111" s="43" t="str">
        <f>IF(ISBLANK(Projection!P108), "", Projection!P108)</f>
        <v/>
      </c>
      <c r="K111" s="43" t="str">
        <f>IF(ISBLANK('Committed Cost'!P108), "", 'Committed Cost'!P108)</f>
        <v/>
      </c>
      <c r="L111" s="37" t="str">
        <f>IFERROR(IF(ISBLANK(F111), "", K111/F111), 0)</f>
        <v/>
      </c>
      <c r="M111" s="43" t="str">
        <f>IF(F111="", "", F111-K111)</f>
        <v/>
      </c>
      <c r="N111" s="43" t="str">
        <f>IF(ISBLANK(Accrual!P108), "", Accrual!P108)</f>
        <v/>
      </c>
      <c r="O111" s="43" t="str">
        <f>IF(ISBLANK('Cash Flow'!P108), "",'Cash Flow'!P108)</f>
        <v/>
      </c>
      <c r="P111" s="37" t="str">
        <f>IFERROR(IF(O111="", "", O111/K111), 0)</f>
        <v/>
      </c>
      <c r="Q111" s="44" t="str">
        <f>IF(K111="", "", K111-O111)</f>
        <v/>
      </c>
    </row>
    <row r="112" spans="1:18" customHeight="1" ht="12.75">
      <c r="A112" s="21">
        <v>3.0</v>
      </c>
      <c r="B112" s="6" t="s">
        <v>204</v>
      </c>
      <c r="C112" s="49">
        <f>C39-C110</f>
        <v>30649.37517</v>
      </c>
      <c r="D112" s="49">
        <f>D39-D110</f>
        <v>30649.47821</v>
      </c>
      <c r="E112" s="49">
        <f>E39-E110</f>
        <v>0</v>
      </c>
      <c r="F112" s="49">
        <f>F39-F110</f>
        <v>30649.47821</v>
      </c>
      <c r="G112" s="49">
        <f>G39-G110</f>
        <v>100022.322</v>
      </c>
      <c r="H112" s="49">
        <f>H39-H110</f>
        <v>79988.322</v>
      </c>
      <c r="I112" s="49">
        <f>IF(H112="", "", J112-H112)</f>
        <v>-34270.343</v>
      </c>
      <c r="J112" s="49">
        <f>IF(ISBLANK(Projection!P109), "", Projection!P109)</f>
        <v>45717.979</v>
      </c>
      <c r="K112" s="49">
        <f>IF(ISBLANK('Committed Cost'!P109), "", 'Committed Cost'!P109)</f>
        <v>-373082.19771</v>
      </c>
      <c r="L112" s="40">
        <f>IFERROR(IF(ISBLANK(F112), "", K112/F112), 0)</f>
        <v>-12.172546467309</v>
      </c>
      <c r="M112" s="49">
        <f>IF(F112="", "", F112-K112)</f>
        <v>403731.67592</v>
      </c>
      <c r="N112" s="49">
        <f>IF(ISBLANK(Accrual!P109), "", Accrual!P109)</f>
        <v>-216147.73192</v>
      </c>
      <c r="O112" s="49">
        <f>IF(ISBLANK('Cash Flow'!P109), "",'Cash Flow'!P109)</f>
        <v>-92150.83927</v>
      </c>
      <c r="P112" s="40">
        <f>IFERROR(IF(O112="", "", O112/K112), 0)</f>
        <v>0.2469987574739</v>
      </c>
      <c r="Q112" s="50">
        <f>IF(K112="", "", K112-O112)</f>
        <v>-280931.35844</v>
      </c>
    </row>
    <row r="113" spans="1:18" customHeight="1" ht="12.75">
      <c r="A113" s="18"/>
      <c r="B113" s="4"/>
      <c r="C113" s="43"/>
      <c r="D113" s="43"/>
      <c r="E113" s="43"/>
      <c r="F113" s="43"/>
      <c r="G113" s="43"/>
      <c r="H113" s="43"/>
      <c r="I113" s="43" t="str">
        <f>IF(H113="", "", J113-H113)</f>
        <v/>
      </c>
      <c r="J113" s="43" t="str">
        <f>IF(ISBLANK(Projection!P110), "", Projection!P110)</f>
        <v/>
      </c>
      <c r="K113" s="43" t="str">
        <f>IF(ISBLANK('Committed Cost'!P110), "", 'Committed Cost'!P110)</f>
        <v/>
      </c>
      <c r="L113" s="37" t="str">
        <f>IFERROR(IF(ISBLANK(F113), "", K113/F113), 0)</f>
        <v/>
      </c>
      <c r="M113" s="43" t="str">
        <f>IF(F113="", "", F113-K113)</f>
        <v/>
      </c>
      <c r="N113" s="43" t="str">
        <f>IF(ISBLANK(Accrual!P110), "", Accrual!P110)</f>
        <v/>
      </c>
      <c r="O113" s="43" t="str">
        <f>IF(ISBLANK('Cash Flow'!P110), "",'Cash Flow'!P110)</f>
        <v/>
      </c>
      <c r="P113" s="37" t="str">
        <f>IFERROR(IF(O113="", "", O113/K113), 0)</f>
        <v/>
      </c>
      <c r="Q113" s="44" t="str">
        <f>IF(K113="", "", K113-O113)</f>
        <v/>
      </c>
    </row>
    <row r="114" spans="1:18" customHeight="1" ht="12.75">
      <c r="A114" s="18">
        <v>4.0</v>
      </c>
      <c r="B114" s="4" t="s">
        <v>205</v>
      </c>
      <c r="C114" s="43"/>
      <c r="D114" s="43"/>
      <c r="E114" s="43"/>
      <c r="F114" s="43"/>
      <c r="G114" s="43"/>
      <c r="H114" s="43"/>
      <c r="I114" s="43" t="str">
        <f>IF(H114="", "", J114-H114)</f>
        <v/>
      </c>
      <c r="J114" s="43" t="str">
        <f>IF(ISBLANK(Projection!P111), "", Projection!P111)</f>
        <v/>
      </c>
      <c r="K114" s="43" t="str">
        <f>IF(ISBLANK('Committed Cost'!P111), "", 'Committed Cost'!P111)</f>
        <v/>
      </c>
      <c r="L114" s="37" t="str">
        <f>IFERROR(IF(ISBLANK(F114), "", K114/F114), 0)</f>
        <v/>
      </c>
      <c r="M114" s="43" t="str">
        <f>IF(F114="", "", F114-K114)</f>
        <v/>
      </c>
      <c r="N114" s="43" t="str">
        <f>IF(ISBLANK(Accrual!P111), "", Accrual!P111)</f>
        <v/>
      </c>
      <c r="O114" s="43" t="str">
        <f>IF(ISBLANK('Cash Flow'!P111), "",'Cash Flow'!P111)</f>
        <v/>
      </c>
      <c r="P114" s="37" t="str">
        <f>IFERROR(IF(O114="", "", O114/K114), 0)</f>
        <v/>
      </c>
      <c r="Q114" s="44" t="str">
        <f>IF(K114="", "", K114-O114)</f>
        <v/>
      </c>
    </row>
    <row r="115" spans="1:18" customHeight="1" ht="12.75">
      <c r="A115" s="18"/>
      <c r="B115" s="4" t="s">
        <v>206</v>
      </c>
      <c r="C115" s="43"/>
      <c r="D115" s="43"/>
      <c r="E115" s="43"/>
      <c r="F115" s="43"/>
      <c r="G115" s="43"/>
      <c r="H115" s="43"/>
      <c r="I115" s="43" t="str">
        <f>IF(H115="", "", J115-H115)</f>
        <v/>
      </c>
      <c r="J115" s="43" t="str">
        <f>IF(ISBLANK(Projection!P112), "", Projection!P112)</f>
        <v/>
      </c>
      <c r="K115" s="43" t="str">
        <f>IF(ISBLANK('Committed Cost'!P112), "", 'Committed Cost'!P112)</f>
        <v/>
      </c>
      <c r="L115" s="37" t="str">
        <f>IFERROR(IF(ISBLANK(F115), "", K115/F115), 0)</f>
        <v/>
      </c>
      <c r="M115" s="43" t="str">
        <f>IF(F115="", "", F115-K115)</f>
        <v/>
      </c>
      <c r="N115" s="43" t="str">
        <f>IF(ISBLANK(Accrual!P112), "", Accrual!P112)</f>
        <v/>
      </c>
      <c r="O115" s="43" t="str">
        <f>IF(ISBLANK('Cash Flow'!P112), "",'Cash Flow'!P112)</f>
        <v/>
      </c>
      <c r="P115" s="37" t="str">
        <f>IFERROR(IF(O115="", "", O115/K115), 0)</f>
        <v/>
      </c>
      <c r="Q115" s="44" t="str">
        <f>IF(K115="", "", K115-O115)</f>
        <v/>
      </c>
    </row>
    <row r="116" spans="1:18" customHeight="1" ht="12.75">
      <c r="A116" s="18">
        <v>2.1</v>
      </c>
      <c r="B116" s="4" t="s">
        <v>80</v>
      </c>
      <c r="C116" s="43"/>
      <c r="D116" s="43"/>
      <c r="E116" s="43"/>
      <c r="F116" s="43"/>
      <c r="G116" s="43"/>
      <c r="H116" s="43"/>
      <c r="I116" s="43" t="str">
        <f>IF(H116="", "", J116-H116)</f>
        <v/>
      </c>
      <c r="J116" s="43" t="str">
        <f>IF(ISBLANK(Projection!P113), "", Projection!P113)</f>
        <v/>
      </c>
      <c r="K116" s="43" t="str">
        <f>IF(ISBLANK('Committed Cost'!P113), "", 'Committed Cost'!P113)</f>
        <v/>
      </c>
      <c r="L116" s="37" t="str">
        <f>IFERROR(IF(ISBLANK(F116), "", K116/F116), 0)</f>
        <v/>
      </c>
      <c r="M116" s="43" t="str">
        <f>IF(F116="", "", F116-K116)</f>
        <v/>
      </c>
      <c r="N116" s="43" t="str">
        <f>IF(ISBLANK(Accrual!P113), "", Accrual!P113)</f>
        <v/>
      </c>
      <c r="O116" s="43" t="str">
        <f>IF(ISBLANK('Cash Flow'!P113), "",'Cash Flow'!P113)</f>
        <v/>
      </c>
      <c r="P116" s="37" t="str">
        <f>IFERROR(IF(O116="", "", O116/K116), 0)</f>
        <v/>
      </c>
      <c r="Q116" s="44" t="str">
        <f>IF(K116="", "", K116-O116)</f>
        <v/>
      </c>
    </row>
    <row r="117" spans="1:18" customHeight="1" ht="12.75" hidden="true">
      <c r="A117" s="18" t="s">
        <v>93</v>
      </c>
      <c r="B117" s="4" t="s">
        <v>207</v>
      </c>
      <c r="C117" s="43"/>
      <c r="D117" s="43"/>
      <c r="E117" s="43"/>
      <c r="F117" s="43"/>
      <c r="G117" s="43">
        <f>G49*-1</f>
        <v>0</v>
      </c>
      <c r="H117" s="43"/>
      <c r="I117" s="43" t="str">
        <f>IF(H117="", "", J117-H117)</f>
        <v/>
      </c>
      <c r="J117" s="43">
        <f>IF(ISBLANK(Projection!P114), "", Projection!P114)</f>
        <v>0</v>
      </c>
      <c r="K117" s="43">
        <f>IF(ISBLANK('Committed Cost'!P114), "", 'Committed Cost'!P114)</f>
        <v>0</v>
      </c>
      <c r="L117" s="37">
        <f>IFERROR(IF(ISBLANK(F117), "", K117/F117), 0)</f>
        <v>0</v>
      </c>
      <c r="M117" s="43" t="str">
        <f>IF(F117="", "", F117-K117)</f>
        <v/>
      </c>
      <c r="N117" s="43">
        <f>IF(ISBLANK(Accrual!P114), "", Accrual!P114)</f>
        <v>0</v>
      </c>
      <c r="O117" s="43">
        <f>IF(ISBLANK('Cash Flow'!P114), "",'Cash Flow'!P114)</f>
        <v>0</v>
      </c>
      <c r="P117" s="37">
        <f>IFERROR(IF(O117="", "", O117/K117), 0)</f>
        <v>0</v>
      </c>
      <c r="Q117" s="44">
        <f>IF(K117="", "", K117-O117)</f>
        <v>0</v>
      </c>
    </row>
    <row r="118" spans="1:18" customHeight="1" ht="12.75">
      <c r="A118" s="18">
        <v>2.3</v>
      </c>
      <c r="B118" s="4" t="s">
        <v>144</v>
      </c>
      <c r="C118" s="43"/>
      <c r="D118" s="43"/>
      <c r="E118" s="43"/>
      <c r="F118" s="43"/>
      <c r="G118" s="43"/>
      <c r="H118" s="43"/>
      <c r="I118" s="43" t="str">
        <f>IF(H118="", "", J118-H118)</f>
        <v/>
      </c>
      <c r="J118" s="43" t="str">
        <f>IF(ISBLANK(Projection!P115), "", Projection!P115)</f>
        <v/>
      </c>
      <c r="K118" s="43" t="str">
        <f>IF(ISBLANK('Committed Cost'!P115), "", 'Committed Cost'!P115)</f>
        <v/>
      </c>
      <c r="L118" s="37" t="str">
        <f>IFERROR(IF(ISBLANK(F118), "", K118/F118), 0)</f>
        <v/>
      </c>
      <c r="M118" s="43" t="str">
        <f>IF(F118="", "", F118-K118)</f>
        <v/>
      </c>
      <c r="N118" s="43" t="str">
        <f>IF(ISBLANK(Accrual!P115), "", Accrual!P115)</f>
        <v/>
      </c>
      <c r="O118" s="43" t="str">
        <f>IF(ISBLANK('Cash Flow'!P115), "",'Cash Flow'!P115)</f>
        <v/>
      </c>
      <c r="P118" s="37" t="str">
        <f>IFERROR(IF(O118="", "", O118/K118), 0)</f>
        <v/>
      </c>
      <c r="Q118" s="44" t="str">
        <f>IF(K118="", "", K118-O118)</f>
        <v/>
      </c>
    </row>
    <row r="119" spans="1:18" customHeight="1" ht="12.75" hidden="true">
      <c r="A119" s="18" t="s">
        <v>157</v>
      </c>
      <c r="B119" s="4" t="s">
        <v>208</v>
      </c>
      <c r="C119" s="43"/>
      <c r="D119" s="43"/>
      <c r="E119" s="43"/>
      <c r="F119" s="43"/>
      <c r="G119" s="43">
        <f>G82*-1</f>
        <v>0</v>
      </c>
      <c r="H119" s="43"/>
      <c r="I119" s="43" t="str">
        <f>IF(H119="", "", J119-H119)</f>
        <v/>
      </c>
      <c r="J119" s="43">
        <f>IF(ISBLANK(Projection!P116), "", Projection!P116)</f>
        <v>0</v>
      </c>
      <c r="K119" s="43">
        <f>IF(ISBLANK('Committed Cost'!P116), "", 'Committed Cost'!P116)</f>
        <v>0</v>
      </c>
      <c r="L119" s="37">
        <f>IFERROR(IF(ISBLANK(F119), "", K119/F119), 0)</f>
        <v>0</v>
      </c>
      <c r="M119" s="43" t="str">
        <f>IF(F119="", "", F119-K119)</f>
        <v/>
      </c>
      <c r="N119" s="43">
        <f>IF(ISBLANK(Accrual!P116), "", Accrual!P116)</f>
        <v>0</v>
      </c>
      <c r="O119" s="43">
        <f>IF(ISBLANK('Cash Flow'!P116), "",'Cash Flow'!P116)</f>
        <v>0</v>
      </c>
      <c r="P119" s="37">
        <f>IFERROR(IF(O119="", "", O119/K119), 0)</f>
        <v>0</v>
      </c>
      <c r="Q119" s="44">
        <f>IF(K119="", "", K119-O119)</f>
        <v>0</v>
      </c>
    </row>
    <row r="120" spans="1:18" customHeight="1" ht="12.75">
      <c r="A120" s="18"/>
      <c r="B120" s="4"/>
      <c r="C120" s="43"/>
      <c r="D120" s="43"/>
      <c r="E120" s="43"/>
      <c r="F120" s="43"/>
      <c r="G120" s="43"/>
      <c r="H120" s="43"/>
      <c r="I120" s="43" t="str">
        <f>IF(H120="", "", J120-H120)</f>
        <v/>
      </c>
      <c r="J120" s="43" t="str">
        <f>IF(ISBLANK(Projection!P117), "", Projection!P117)</f>
        <v/>
      </c>
      <c r="K120" s="43" t="str">
        <f>IF(ISBLANK('Committed Cost'!P117), "", 'Committed Cost'!P117)</f>
        <v/>
      </c>
      <c r="L120" s="37" t="str">
        <f>IFERROR(IF(ISBLANK(F120), "", K120/F120), 0)</f>
        <v/>
      </c>
      <c r="M120" s="43" t="str">
        <f>IF(F120="", "", F120-K120)</f>
        <v/>
      </c>
      <c r="N120" s="43" t="str">
        <f>IF(ISBLANK(Accrual!P117), "", Accrual!P117)</f>
        <v/>
      </c>
      <c r="O120" s="43" t="str">
        <f>IF(ISBLANK('Cash Flow'!P117), "",'Cash Flow'!P117)</f>
        <v/>
      </c>
      <c r="P120" s="37" t="str">
        <f>IFERROR(IF(O120="", "", O120/K120), 0)</f>
        <v/>
      </c>
      <c r="Q120" s="44" t="str">
        <f>IF(K120="", "", K120-O120)</f>
        <v/>
      </c>
    </row>
    <row r="121" spans="1:18" customHeight="1" ht="12.75">
      <c r="A121" s="19">
        <v>4.1</v>
      </c>
      <c r="B121" s="5" t="s">
        <v>209</v>
      </c>
      <c r="C121" s="45">
        <v>0</v>
      </c>
      <c r="D121" s="45">
        <v>0</v>
      </c>
      <c r="E121" s="45">
        <v>0</v>
      </c>
      <c r="F121" s="45">
        <f>D121+E121</f>
        <v>0</v>
      </c>
      <c r="G121" s="45">
        <v>-2052</v>
      </c>
      <c r="H121" s="45"/>
      <c r="I121" s="45" t="str">
        <f>IF(H121="", "", J121-H121)</f>
        <v/>
      </c>
      <c r="J121" s="45">
        <f>IF(ISBLANK(Projection!P118), "", Projection!P118)</f>
        <v>-2975.18830301</v>
      </c>
      <c r="K121" s="45">
        <f>IF(ISBLANK('Committed Cost'!P118), "", 'Committed Cost'!P118)</f>
        <v>-2975.18830302</v>
      </c>
      <c r="L121" s="38">
        <f>IFERROR(IF(ISBLANK(F121), "", K121/F121), 0)</f>
        <v>0</v>
      </c>
      <c r="M121" s="45">
        <f>IF(F121="", "", F121-K121)</f>
        <v>2975.18830302</v>
      </c>
      <c r="N121" s="43">
        <f>IF(ISBLANK(Accrual!P118), "", Accrual!P118)</f>
        <v>-2975.18830301</v>
      </c>
      <c r="O121" s="43">
        <f>IF(ISBLANK('Cash Flow'!P118), "",'Cash Flow'!P118)</f>
        <v>-2975.1883030141</v>
      </c>
      <c r="P121" s="38">
        <f>IFERROR(IF(O121="", "", O121/K121), 0)</f>
        <v>0.99999999999802</v>
      </c>
      <c r="Q121" s="46">
        <f>IF(K121="", "", K121-O121)</f>
        <v>-5.9044396039099E-9</v>
      </c>
    </row>
    <row r="122" spans="1:18" customHeight="1" ht="12.75">
      <c r="A122" s="20">
        <v>4.3</v>
      </c>
      <c r="B122" s="15" t="s">
        <v>210</v>
      </c>
      <c r="C122" s="47">
        <f>SUM(C114:C121)</f>
        <v>0</v>
      </c>
      <c r="D122" s="47">
        <f>SUM(D114:D121)</f>
        <v>0</v>
      </c>
      <c r="E122" s="47">
        <f>SUM(E114:E121)</f>
        <v>0</v>
      </c>
      <c r="F122" s="47">
        <f>SUM(F114:F121)</f>
        <v>0</v>
      </c>
      <c r="G122" s="47">
        <f>SUM(G114:G121)</f>
        <v>-2052</v>
      </c>
      <c r="H122" s="47"/>
      <c r="I122" s="47" t="str">
        <f>IF(H122="", "", J122-H122)</f>
        <v/>
      </c>
      <c r="J122" s="47">
        <f>IF(ISBLANK(Projection!P119), "", Projection!P119)</f>
        <v>-2975.18830301</v>
      </c>
      <c r="K122" s="47">
        <f>IF(ISBLANK('Committed Cost'!P119), "", 'Committed Cost'!P119)</f>
        <v>-2975.18830302</v>
      </c>
      <c r="L122" s="39">
        <f>IFERROR(IF(ISBLANK(F122), "", K122/F122), 0)</f>
        <v>0</v>
      </c>
      <c r="M122" s="47">
        <f>IF(F122="", "", F122-K122)</f>
        <v>2975.18830302</v>
      </c>
      <c r="N122" s="47">
        <f>IF(ISBLANK(Accrual!P119), "", Accrual!P119)</f>
        <v>-2975.18830301</v>
      </c>
      <c r="O122" s="47">
        <f>IF(ISBLANK('Cash Flow'!P119), "",'Cash Flow'!P119)</f>
        <v>-2975.1883030141</v>
      </c>
      <c r="P122" s="39">
        <f>IFERROR(IF(O122="", "", O122/K122), 0)</f>
        <v>0.99999999999802</v>
      </c>
      <c r="Q122" s="48">
        <f>IF(K122="", "", K122-O122)</f>
        <v>-5.9044396039099E-9</v>
      </c>
    </row>
    <row r="123" spans="1:18" customHeight="1" ht="12.75">
      <c r="A123" s="18"/>
      <c r="B123" s="4"/>
      <c r="C123" s="43"/>
      <c r="D123" s="43"/>
      <c r="E123" s="43"/>
      <c r="F123" s="43"/>
      <c r="G123" s="43"/>
      <c r="H123" s="43"/>
      <c r="I123" s="43" t="str">
        <f>IF(H123="", "", J123-H123)</f>
        <v/>
      </c>
      <c r="J123" s="43" t="str">
        <f>IF(ISBLANK(Projection!P120), "", Projection!P120)</f>
        <v/>
      </c>
      <c r="K123" s="43" t="str">
        <f>IF(ISBLANK('Committed Cost'!P120), "", 'Committed Cost'!P120)</f>
        <v/>
      </c>
      <c r="L123" s="37" t="str">
        <f>IFERROR(IF(ISBLANK(F123), "", K123/F123), 0)</f>
        <v/>
      </c>
      <c r="M123" s="43" t="str">
        <f>IF(F123="", "", F123-K123)</f>
        <v/>
      </c>
      <c r="N123" s="43" t="str">
        <f>IF(ISBLANK(Accrual!P120), "", Accrual!P120)</f>
        <v/>
      </c>
      <c r="O123" s="43" t="str">
        <f>IF(ISBLANK('Cash Flow'!P120), "",'Cash Flow'!P120)</f>
        <v/>
      </c>
      <c r="P123" s="37" t="str">
        <f>IFERROR(IF(O123="", "", O123/K123), 0)</f>
        <v/>
      </c>
      <c r="Q123" s="44" t="str">
        <f>IF(K123="", "", K123-O123)</f>
        <v/>
      </c>
    </row>
    <row r="124" spans="1:18" customHeight="1" ht="12.75">
      <c r="A124" s="21">
        <v>5.0</v>
      </c>
      <c r="B124" s="6" t="s">
        <v>211</v>
      </c>
      <c r="C124" s="49">
        <f>C112-C122</f>
        <v>30649.37517</v>
      </c>
      <c r="D124" s="49">
        <f>D112-D122</f>
        <v>30649.47821</v>
      </c>
      <c r="E124" s="49">
        <f>E112-E122</f>
        <v>0</v>
      </c>
      <c r="F124" s="49">
        <f>F112-F122</f>
        <v>30649.47821</v>
      </c>
      <c r="G124" s="49">
        <f>G112-G122</f>
        <v>102074.322</v>
      </c>
      <c r="H124" s="49"/>
      <c r="I124" s="49" t="str">
        <f>IF(H124="", "", J124-H124)</f>
        <v/>
      </c>
      <c r="J124" s="49">
        <f>IF(ISBLANK(Projection!P121), "", Projection!P121)</f>
        <v>48693.16730301</v>
      </c>
      <c r="K124" s="49">
        <f>IF(ISBLANK('Committed Cost'!P121), "", 'Committed Cost'!P121)</f>
        <v>-370107.00940698</v>
      </c>
      <c r="L124" s="40">
        <f>IFERROR(IF(ISBLANK(F124), "", K124/F124), 0)</f>
        <v>-12.075475049563</v>
      </c>
      <c r="M124" s="49">
        <f>IF(F124="", "", F124-K124)</f>
        <v>400756.48761698</v>
      </c>
      <c r="N124" s="49">
        <f>IF(ISBLANK(Accrual!P121), "", Accrual!P121)</f>
        <v>-213172.54361699</v>
      </c>
      <c r="O124" s="49">
        <f>IF(ISBLANK('Cash Flow'!P121), "",'Cash Flow'!P121)</f>
        <v>-89175.650966986</v>
      </c>
      <c r="P124" s="40">
        <f>IFERROR(IF(O124="", "", O124/K124), 0)</f>
        <v>0.24094558789868</v>
      </c>
      <c r="Q124" s="50">
        <f>IF(K124="", "", K124-O124)</f>
        <v>-280931.35843999</v>
      </c>
    </row>
    <row r="125" spans="1:18" customHeight="1" ht="12.75">
      <c r="A125" s="18"/>
      <c r="B125" s="4"/>
      <c r="C125" s="43"/>
      <c r="D125" s="43"/>
      <c r="E125" s="43"/>
      <c r="F125" s="43"/>
      <c r="G125" s="43"/>
      <c r="H125" s="43"/>
      <c r="I125" s="43" t="str">
        <f>IF(H125="", "", J125-H125)</f>
        <v/>
      </c>
      <c r="J125" s="43" t="str">
        <f>IF(ISBLANK(Projection!P122), "", Projection!P122)</f>
        <v/>
      </c>
      <c r="K125" s="43" t="str">
        <f>IF(ISBLANK('Committed Cost'!P122), "", 'Committed Cost'!P122)</f>
        <v/>
      </c>
      <c r="L125" s="37" t="str">
        <f>IFERROR(IF(ISBLANK(F125), "", K125/F125), 0)</f>
        <v/>
      </c>
      <c r="M125" s="43" t="str">
        <f>IF(F125="", "", F125-K125)</f>
        <v/>
      </c>
      <c r="N125" s="43" t="str">
        <f>IF(ISBLANK(Accrual!P122), "", Accrual!P122)</f>
        <v/>
      </c>
      <c r="O125" s="43" t="str">
        <f>IF(ISBLANK('Cash Flow'!P122), "",'Cash Flow'!P122)</f>
        <v/>
      </c>
      <c r="P125" s="37" t="str">
        <f>IFERROR(IF(O125="", "", O125/K125), 0)</f>
        <v/>
      </c>
      <c r="Q125" s="44" t="str">
        <f>IF(K125="", "", K125-O125)</f>
        <v/>
      </c>
    </row>
    <row r="126" spans="1:18" customHeight="1" ht="12.75">
      <c r="A126" s="18">
        <v>6.0</v>
      </c>
      <c r="B126" s="4" t="s">
        <v>212</v>
      </c>
      <c r="C126" s="43"/>
      <c r="D126" s="43"/>
      <c r="E126" s="43"/>
      <c r="F126" s="43"/>
      <c r="G126" s="43"/>
      <c r="H126" s="43"/>
      <c r="I126" s="43" t="str">
        <f>IF(H126="", "", J126-H126)</f>
        <v/>
      </c>
      <c r="J126" s="43" t="str">
        <f>IF(ISBLANK(Projection!P123), "", Projection!P123)</f>
        <v/>
      </c>
      <c r="K126" s="43" t="str">
        <f>IF(ISBLANK('Committed Cost'!P123), "", 'Committed Cost'!P123)</f>
        <v/>
      </c>
      <c r="L126" s="37" t="str">
        <f>IFERROR(IF(ISBLANK(F126), "", K126/F126), 0)</f>
        <v/>
      </c>
      <c r="M126" s="43" t="str">
        <f>IF(F126="", "", F126-K126)</f>
        <v/>
      </c>
      <c r="N126" s="43" t="str">
        <f>IF(ISBLANK(Accrual!P123), "", Accrual!P123)</f>
        <v/>
      </c>
      <c r="O126" s="43" t="str">
        <f>IF(ISBLANK('Cash Flow'!P123), "",'Cash Flow'!P123)</f>
        <v/>
      </c>
      <c r="P126" s="37" t="str">
        <f>IFERROR(IF(O126="", "", O126/K126), 0)</f>
        <v/>
      </c>
      <c r="Q126" s="44" t="str">
        <f>IF(K126="", "", K126-O126)</f>
        <v/>
      </c>
    </row>
    <row r="127" spans="1:18" customHeight="1" ht="12.75" hidden="true">
      <c r="A127" s="18">
        <v>6.1</v>
      </c>
      <c r="B127" s="4" t="s">
        <v>213</v>
      </c>
      <c r="C127" s="43">
        <v>0.06</v>
      </c>
      <c r="D127" s="43">
        <v>0.06</v>
      </c>
      <c r="E127" s="43">
        <v>0.06</v>
      </c>
      <c r="F127" s="43">
        <v>0.06</v>
      </c>
      <c r="G127" s="43">
        <v>0.06</v>
      </c>
      <c r="H127" s="43"/>
      <c r="I127" s="43" t="str">
        <f>IF(H127="", "", J127-H127)</f>
        <v/>
      </c>
      <c r="J127" s="43" t="str">
        <f>IF(ISBLANK(Projection!P124), "", Projection!P124)</f>
        <v/>
      </c>
      <c r="K127" s="43" t="str">
        <f>IF(ISBLANK('Committed Cost'!P124), "", 'Committed Cost'!P124)</f>
        <v/>
      </c>
      <c r="L127" s="37">
        <f>IFERROR(IF(ISBLANK(F127), "", K127/F127), 0)</f>
        <v>0</v>
      </c>
      <c r="M127" s="43" t="str">
        <f>IF(F127="", "", F127-K127)</f>
        <v>0</v>
      </c>
      <c r="N127" s="43" t="str">
        <f>IF(ISBLANK(Accrual!P124), "", Accrual!P124)</f>
        <v/>
      </c>
      <c r="O127" s="43" t="str">
        <f>IF(ISBLANK('Cash Flow'!P124), "",'Cash Flow'!P124)</f>
        <v/>
      </c>
      <c r="P127" s="37" t="str">
        <f>IFERROR(IF(O127="", "", O127/K127), 0)</f>
        <v/>
      </c>
      <c r="Q127" s="44" t="str">
        <f>IF(K127="", "", K127-O127)</f>
        <v/>
      </c>
    </row>
    <row r="128" spans="1:18" customHeight="1" ht="12.75">
      <c r="A128" s="18" t="s">
        <v>214</v>
      </c>
      <c r="B128" s="4" t="s">
        <v>215</v>
      </c>
      <c r="C128" s="43">
        <f>(C39-C21-C23-C36)*C127</f>
        <v>30134.1246</v>
      </c>
      <c r="D128" s="43">
        <f>(D39-D21-D23-D36)*D127</f>
        <v>30708.9966</v>
      </c>
      <c r="E128" s="43">
        <f>(E39-E21-E23-E36)*E127</f>
        <v>0</v>
      </c>
      <c r="F128" s="43">
        <f>(F39-F21-F23-F36)*F127</f>
        <v>30708.9966</v>
      </c>
      <c r="G128" s="43">
        <f>(G39-G21-G23-G36)*G127</f>
        <v>72396.204</v>
      </c>
      <c r="H128" s="43"/>
      <c r="I128" s="43" t="str">
        <f>IF(H128="", "", J128-H128)</f>
        <v/>
      </c>
      <c r="J128" s="43">
        <f>IF(ISBLANK(Projection!P125), "", Projection!P125)</f>
        <v>36389.3121</v>
      </c>
      <c r="K128" s="43">
        <f>IF(ISBLANK('Committed Cost'!P125), "", 'Committed Cost'!P125)</f>
        <v>33913.4074776</v>
      </c>
      <c r="L128" s="37">
        <f>IFERROR(IF(ISBLANK(F128), "", K128/F128), 0)</f>
        <v>1.1043476255294</v>
      </c>
      <c r="M128" s="43">
        <f>IF(F128="", "", F128-K128)</f>
        <v>-3204.4108776</v>
      </c>
      <c r="N128" s="43">
        <f>IF(ISBLANK(Accrual!P125), "", Accrual!P125)</f>
        <v>33953.957082</v>
      </c>
      <c r="O128" s="43">
        <f>IF(ISBLANK('Cash Flow'!P125), "",'Cash Flow'!P125)</f>
        <v>33300.2330724</v>
      </c>
      <c r="P128" s="37">
        <f>IFERROR(IF(O128="", "", O128/K128), 0)</f>
        <v>0.98191941032157</v>
      </c>
      <c r="Q128" s="44">
        <f>IF(K128="", "", K128-O128)</f>
        <v>613.1744052</v>
      </c>
    </row>
    <row r="129" spans="1:18" customHeight="1" ht="12.75">
      <c r="A129" s="18" t="s">
        <v>216</v>
      </c>
      <c r="B129" s="4" t="s">
        <v>217</v>
      </c>
      <c r="C129" s="43">
        <f>(C39-C21-C23-C36)*0.006000</f>
        <v>3013.41246</v>
      </c>
      <c r="D129" s="43">
        <f>(D39-D21-D23-D36)*0.006000</f>
        <v>3070.89966</v>
      </c>
      <c r="E129" s="43">
        <f>(E39-E21-E23-E36)*0.006000</f>
        <v>0</v>
      </c>
      <c r="F129" s="43">
        <f>(F39-F21-F23-F36)*0.006000</f>
        <v>3070.89966</v>
      </c>
      <c r="G129" s="43">
        <f>(G39-G21-G23-G36)*0.006000</f>
        <v>7239.6204</v>
      </c>
      <c r="H129" s="43"/>
      <c r="I129" s="43" t="str">
        <f>IF(H129="", "", J129-H129)</f>
        <v/>
      </c>
      <c r="J129" s="43">
        <f>IF(ISBLANK(Projection!P126), "", Projection!P126)</f>
        <v>7239.27642</v>
      </c>
      <c r="K129" s="43">
        <f>IF(ISBLANK('Committed Cost'!P126), "", 'Committed Cost'!P126)</f>
        <v>6464.51349552</v>
      </c>
      <c r="L129" s="37">
        <f>IFERROR(IF(ISBLANK(F129), "", K129/F129), 0)</f>
        <v>2.1050878280797</v>
      </c>
      <c r="M129" s="43">
        <f>IF(F129="", "", F129-K129)</f>
        <v>-3393.61383552</v>
      </c>
      <c r="N129" s="43">
        <f>IF(ISBLANK(Accrual!P126), "", Accrual!P126)</f>
        <v>6468.5674164</v>
      </c>
      <c r="O129" s="43">
        <f>IF(ISBLANK('Cash Flow'!P126), "",'Cash Flow'!P126)</f>
        <v>6343.84162344</v>
      </c>
      <c r="P129" s="37">
        <f>IFERROR(IF(O129="", "", O129/K129), 0)</f>
        <v>0.98133318583624</v>
      </c>
      <c r="Q129" s="44">
        <f>IF(K129="", "", K129-O129)</f>
        <v>120.67187208</v>
      </c>
    </row>
    <row r="130" spans="1:18" customHeight="1" ht="12.75" hidden="true">
      <c r="A130" s="18">
        <v>6.2</v>
      </c>
      <c r="B130" s="4" t="s">
        <v>218</v>
      </c>
      <c r="C130" s="43"/>
      <c r="D130" s="43"/>
      <c r="E130" s="43"/>
      <c r="F130" s="43"/>
      <c r="G130" s="43"/>
      <c r="H130" s="43"/>
      <c r="I130" s="43" t="str">
        <f>IF(H130="", "", J130-H130)</f>
        <v/>
      </c>
      <c r="J130" s="43" t="str">
        <f>IF(ISBLANK(Projection!P127), "", Projection!P127)</f>
        <v/>
      </c>
      <c r="K130" s="43" t="str">
        <f>IF(ISBLANK('Committed Cost'!P127), "", 'Committed Cost'!P127)</f>
        <v/>
      </c>
      <c r="L130" s="37" t="str">
        <f>IFERROR(IF(ISBLANK(F130), "", K130/F130), 0)</f>
        <v/>
      </c>
      <c r="M130" s="43" t="str">
        <f>IF(F130="", "", F130-K130)</f>
        <v/>
      </c>
      <c r="N130" s="43" t="str">
        <f>IF(ISBLANK(Accrual!P127), "", Accrual!P127)</f>
        <v/>
      </c>
      <c r="O130" s="43" t="str">
        <f>IF(ISBLANK('Cash Flow'!P127), "",'Cash Flow'!P127)</f>
        <v/>
      </c>
      <c r="P130" s="37" t="str">
        <f>IFERROR(IF(O130="", "", O130/K130), 0)</f>
        <v/>
      </c>
      <c r="Q130" s="44" t="str">
        <f>IF(K130="", "", K130-O130)</f>
        <v/>
      </c>
    </row>
    <row r="131" spans="1:18" customHeight="1" ht="12.75">
      <c r="A131" s="18"/>
      <c r="B131" s="4"/>
      <c r="C131" s="43"/>
      <c r="D131" s="43"/>
      <c r="E131" s="43"/>
      <c r="F131" s="43"/>
      <c r="G131" s="43"/>
      <c r="H131" s="43"/>
      <c r="I131" s="43" t="str">
        <f>IF(H131="", "", J131-H131)</f>
        <v/>
      </c>
      <c r="J131" s="43" t="str">
        <f>IF(ISBLANK(Projection!P128), "", Projection!P128)</f>
        <v/>
      </c>
      <c r="K131" s="43" t="str">
        <f>IF(ISBLANK('Committed Cost'!P128), "", 'Committed Cost'!P128)</f>
        <v/>
      </c>
      <c r="L131" s="37" t="str">
        <f>IFERROR(IF(ISBLANK(F131), "", K131/F131), 0)</f>
        <v/>
      </c>
      <c r="M131" s="43" t="str">
        <f>IF(F131="", "", F131-K131)</f>
        <v/>
      </c>
      <c r="N131" s="43" t="str">
        <f>IF(ISBLANK(Accrual!P128), "", Accrual!P128)</f>
        <v/>
      </c>
      <c r="O131" s="43" t="str">
        <f>IF(ISBLANK('Cash Flow'!P128), "",'Cash Flow'!P128)</f>
        <v/>
      </c>
      <c r="P131" s="37" t="str">
        <f>IFERROR(IF(O131="", "", O131/K131), 0)</f>
        <v/>
      </c>
      <c r="Q131" s="44" t="str">
        <f>IF(K131="", "", K131-O131)</f>
        <v/>
      </c>
    </row>
    <row r="132" spans="1:18" customHeight="1" ht="12.75">
      <c r="A132" s="22">
        <v>7.0</v>
      </c>
      <c r="B132" s="13" t="s">
        <v>219</v>
      </c>
      <c r="C132" s="51">
        <f>C124-SUM(C128:C129)+IF(ISBLANK(C130), 0, C130)</f>
        <v>-2498.1618900001</v>
      </c>
      <c r="D132" s="51">
        <f>D124-SUM(D128:D129)+IF(ISBLANK(D130), 0, D130)</f>
        <v>-3130.4180500001</v>
      </c>
      <c r="E132" s="51">
        <f>E124-SUM(E128:E129)+IF(ISBLANK(E130), 0, E130)</f>
        <v>0</v>
      </c>
      <c r="F132" s="51">
        <f>F124-SUM(F128:F129)+IF(ISBLANK(F130), 0, F130)</f>
        <v>-3130.4180500001</v>
      </c>
      <c r="G132" s="51">
        <f>G124-SUM(G128:G129)+IF(ISBLANK(G130), 0, G130)</f>
        <v>22438.4976</v>
      </c>
      <c r="H132" s="51"/>
      <c r="I132" s="51" t="str">
        <f>IF(H132="", "", J132-H132)</f>
        <v/>
      </c>
      <c r="J132" s="51">
        <f>IF(ISBLANK(Projection!P129), "", Projection!P129)</f>
        <v>5064.5787830101</v>
      </c>
      <c r="K132" s="51">
        <f>IF(ISBLANK('Committed Cost'!P129), "", 'Committed Cost'!P129)</f>
        <v>-410484.9303801</v>
      </c>
      <c r="L132" s="41">
        <f>IFERROR(IF(ISBLANK(F132), "", K132/F132), 0)</f>
        <v>131.12783143456</v>
      </c>
      <c r="M132" s="51">
        <f>IF(F132="", "", F132-K132)</f>
        <v>407354.5123301</v>
      </c>
      <c r="N132" s="51">
        <f>IF(ISBLANK(Accrual!P129), "", Accrual!P129)</f>
        <v>-253595.06811539</v>
      </c>
      <c r="O132" s="51">
        <f>IF(ISBLANK('Cash Flow'!P129), "",'Cash Flow'!P129)</f>
        <v>-128819.72566283</v>
      </c>
      <c r="P132" s="41">
        <f>IFERROR(IF(O132="", "", O132/K132), 0)</f>
        <v>0.3138232761518</v>
      </c>
      <c r="Q132" s="52">
        <f>IF(K132="", "", K132-O132)</f>
        <v>-281665.20471727</v>
      </c>
    </row>
    <row r="133" spans="1:18" customHeight="1" ht="12.75">
      <c r="A133" s="23"/>
      <c r="B133" s="12" t="s">
        <v>220</v>
      </c>
      <c r="C133" s="53"/>
      <c r="D133" s="53"/>
      <c r="E133" s="53"/>
      <c r="F133" s="53"/>
      <c r="G133" s="53"/>
      <c r="H133" s="53"/>
      <c r="I133" s="53" t="str">
        <f>IF(H133="", "", J133-H133)</f>
        <v/>
      </c>
      <c r="J133" s="53" t="str">
        <f>IF(ISBLANK(Projection!P130), "", Projection!P130)</f>
        <v/>
      </c>
      <c r="K133" s="53" t="str">
        <f>IF(ISBLANK('Committed Cost'!P130), "", 'Committed Cost'!P130)</f>
        <v/>
      </c>
      <c r="L133" s="42" t="str">
        <f>IFERROR(IF(ISBLANK(F133), "", K133/F133), 0)</f>
        <v/>
      </c>
      <c r="M133" s="53" t="str">
        <f>IF(F133="", "", F133-K133)</f>
        <v/>
      </c>
      <c r="N133" s="53" t="str">
        <f>IF(ISBLANK(Accrual!P130), "", Accrual!P130)</f>
        <v/>
      </c>
      <c r="O133" s="53" t="str">
        <f>IF(ISBLANK('Cash Flow'!P130), "",'Cash Flow'!P130)</f>
        <v/>
      </c>
      <c r="P133" s="42" t="str">
        <f>IFERROR(IF(O133="", "", O133/K133), 0)</f>
        <v/>
      </c>
      <c r="Q133" s="54" t="str">
        <f>IF(K133="", "", K133-O133)</f>
        <v/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J12:J13"/>
    <mergeCell ref="K12:M13"/>
    <mergeCell ref="O12:Q12"/>
    <mergeCell ref="O13:P13"/>
    <mergeCell ref="Q13:Q14"/>
    <mergeCell ref="N12:N13"/>
    <mergeCell ref="G11:I11"/>
    <mergeCell ref="P7:Q8"/>
    <mergeCell ref="B12:B14"/>
    <mergeCell ref="A12:A14"/>
    <mergeCell ref="G12:G14"/>
    <mergeCell ref="H12:H14"/>
    <mergeCell ref="I12:I14"/>
    <mergeCell ref="C12:F12"/>
    <mergeCell ref="C13:C14"/>
    <mergeCell ref="D13:D14"/>
    <mergeCell ref="E13:E14"/>
    <mergeCell ref="F13:F14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48" fitToHeight="0" fitToWidth="1" r:id="rId1"/>
  <headerFooter differentOddEven="false" differentFirst="false" scaleWithDoc="true" alignWithMargins="true">
    <oddHeader>&amp;C
&amp;R&amp;"Times New Roman,Bold"&amp;10Page No.: &amp;P of &amp;N &amp;K00+000***</oddHeader>
    <oddFooter/>
    <evenHeader/>
    <evenFooter/>
    <firstHeader/>
    <firstFooter/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997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450905.2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450905.2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501041.3</v>
      </c>
      <c r="D16" s="43">
        <v>-2169</v>
      </c>
      <c r="E16" s="43">
        <v>-4534</v>
      </c>
      <c r="F16" s="43">
        <v>-3511</v>
      </c>
      <c r="G16" s="43">
        <v>2776</v>
      </c>
      <c r="H16" s="43">
        <v>-1007</v>
      </c>
      <c r="I16" s="43">
        <v>-976</v>
      </c>
      <c r="J16" s="43">
        <v>-3613</v>
      </c>
      <c r="K16" s="43">
        <v>0</v>
      </c>
      <c r="L16" s="43">
        <v>0</v>
      </c>
      <c r="M16" s="43"/>
      <c r="N16" s="43"/>
      <c r="O16" s="43"/>
      <c r="P16" s="44">
        <f>SUM(C16:O16)</f>
        <v>488007.3</v>
      </c>
    </row>
    <row r="17" spans="1:16" customHeight="1" ht="12.75">
      <c r="A17" s="18" t="s">
        <v>54</v>
      </c>
      <c r="B17" s="4" t="s">
        <v>55</v>
      </c>
      <c r="C17" s="43">
        <v>95197.5</v>
      </c>
      <c r="D17" s="43">
        <v>-412</v>
      </c>
      <c r="E17" s="43">
        <v>-885</v>
      </c>
      <c r="F17" s="43">
        <v>-667</v>
      </c>
      <c r="G17" s="43">
        <v>528</v>
      </c>
      <c r="H17" s="43">
        <v>-192</v>
      </c>
      <c r="I17" s="43">
        <v>-176</v>
      </c>
      <c r="J17" s="43">
        <v>-650</v>
      </c>
      <c r="K17" s="43">
        <v>0</v>
      </c>
      <c r="L17" s="43">
        <v>0</v>
      </c>
      <c r="M17" s="43"/>
      <c r="N17" s="43"/>
      <c r="O17" s="43"/>
      <c r="P17" s="44">
        <f>SUM(C17:O17)</f>
        <v>92743.5</v>
      </c>
    </row>
    <row r="18" spans="1:16" customHeight="1" ht="12.75">
      <c r="A18" s="18">
        <v>1.3</v>
      </c>
      <c r="B18" s="4" t="s">
        <v>56</v>
      </c>
      <c r="C18" s="43">
        <v>3944.043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3944.043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152913.67</v>
      </c>
      <c r="D23" s="43">
        <v>2581</v>
      </c>
      <c r="E23" s="43">
        <v>5419</v>
      </c>
      <c r="F23" s="43">
        <v>4178</v>
      </c>
      <c r="G23" s="43">
        <v>3127</v>
      </c>
      <c r="H23" s="43">
        <v>1199</v>
      </c>
      <c r="I23" s="43">
        <v>1152</v>
      </c>
      <c r="J23" s="43">
        <v>4263</v>
      </c>
      <c r="K23" s="43">
        <v>0</v>
      </c>
      <c r="L23" s="43">
        <v>0</v>
      </c>
      <c r="M23" s="43"/>
      <c r="N23" s="43"/>
      <c r="O23" s="43"/>
      <c r="P23" s="44">
        <f>SUM(C23:O23)</f>
        <v>174832.67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0.4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0.4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57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57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1204059.113</v>
      </c>
      <c r="D36" s="47">
        <f>SUM(D13:D35)</f>
        <v>0</v>
      </c>
      <c r="E36" s="47">
        <f>SUM(E13:E35)</f>
        <v>0</v>
      </c>
      <c r="F36" s="47">
        <f>SUM(F13:F35)</f>
        <v>0</v>
      </c>
      <c r="G36" s="47">
        <f>SUM(G13:G35)</f>
        <v>6431</v>
      </c>
      <c r="H36" s="47">
        <f>SUM(H13:H35)</f>
        <v>0</v>
      </c>
      <c r="I36" s="47">
        <f>SUM(I13:I35)</f>
        <v>0</v>
      </c>
      <c r="J36" s="47">
        <f>SUM(J13:J35)</f>
        <v>0</v>
      </c>
      <c r="K36" s="47">
        <f>SUM(K13:K35)</f>
        <v>0</v>
      </c>
      <c r="L36" s="47">
        <f>SUM(L13:L35)</f>
        <v>0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1210490.113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85684.504</v>
      </c>
      <c r="D40" s="43">
        <v>1289</v>
      </c>
      <c r="E40" s="43">
        <v>12698</v>
      </c>
      <c r="F40" s="43">
        <v>0</v>
      </c>
      <c r="G40" s="43">
        <v>0</v>
      </c>
      <c r="H40" s="43">
        <v>0</v>
      </c>
      <c r="I40" s="43">
        <v>0</v>
      </c>
      <c r="J40" s="43">
        <v>0</v>
      </c>
      <c r="K40" s="43">
        <v>0</v>
      </c>
      <c r="L40" s="43">
        <v>0</v>
      </c>
      <c r="M40" s="43"/>
      <c r="N40" s="43"/>
      <c r="O40" s="43"/>
      <c r="P40" s="44">
        <f>SUM(C40:O40)</f>
        <v>99671.504</v>
      </c>
    </row>
    <row r="41" spans="1:16" customHeight="1" ht="12.75">
      <c r="A41" s="18" t="s">
        <v>83</v>
      </c>
      <c r="B41" s="4" t="s">
        <v>84</v>
      </c>
      <c r="C41" s="43">
        <v>294</v>
      </c>
      <c r="D41" s="43">
        <v>0</v>
      </c>
      <c r="E41" s="43">
        <v>155</v>
      </c>
      <c r="F41" s="43">
        <v>0</v>
      </c>
      <c r="G41" s="43">
        <v>0</v>
      </c>
      <c r="H41" s="43">
        <v>500</v>
      </c>
      <c r="I41" s="43">
        <v>300</v>
      </c>
      <c r="J41" s="43">
        <v>100</v>
      </c>
      <c r="K41" s="43">
        <v>91</v>
      </c>
      <c r="L41" s="43">
        <v>1099</v>
      </c>
      <c r="M41" s="43"/>
      <c r="N41" s="43"/>
      <c r="O41" s="43"/>
      <c r="P41" s="44">
        <f>SUM(C41:O41)</f>
        <v>2539</v>
      </c>
    </row>
    <row r="42" spans="1:16" customHeight="1" ht="12.75">
      <c r="A42" s="18" t="s">
        <v>85</v>
      </c>
      <c r="B42" s="4" t="s">
        <v>86</v>
      </c>
      <c r="C42" s="43">
        <v>1412.5</v>
      </c>
      <c r="D42" s="43">
        <v>0</v>
      </c>
      <c r="E42" s="43">
        <v>508</v>
      </c>
      <c r="F42" s="43">
        <v>0</v>
      </c>
      <c r="G42" s="43">
        <v>0</v>
      </c>
      <c r="H42" s="43">
        <v>0</v>
      </c>
      <c r="I42" s="43">
        <v>0</v>
      </c>
      <c r="J42" s="43">
        <v>0</v>
      </c>
      <c r="K42" s="43">
        <v>0</v>
      </c>
      <c r="L42" s="43">
        <v>0</v>
      </c>
      <c r="M42" s="43"/>
      <c r="N42" s="43"/>
      <c r="O42" s="43"/>
      <c r="P42" s="44">
        <f>SUM(C42:O42)</f>
        <v>1920.5</v>
      </c>
    </row>
    <row r="43" spans="1:16" customHeight="1" ht="12.75">
      <c r="A43" s="18" t="s">
        <v>87</v>
      </c>
      <c r="B43" s="4" t="s">
        <v>88</v>
      </c>
      <c r="C43" s="43">
        <v>108137.188</v>
      </c>
      <c r="D43" s="43">
        <v>4364</v>
      </c>
      <c r="E43" s="43">
        <v>12506</v>
      </c>
      <c r="F43" s="43">
        <v>0</v>
      </c>
      <c r="G43" s="43">
        <v>2500</v>
      </c>
      <c r="H43" s="43">
        <v>-89589</v>
      </c>
      <c r="I43" s="43">
        <v>0</v>
      </c>
      <c r="J43" s="43">
        <v>0</v>
      </c>
      <c r="K43" s="43">
        <v>0</v>
      </c>
      <c r="L43" s="43">
        <v>0</v>
      </c>
      <c r="M43" s="43"/>
      <c r="N43" s="43"/>
      <c r="O43" s="43"/>
      <c r="P43" s="44">
        <f>SUM(C43:O43)</f>
        <v>37918.188</v>
      </c>
    </row>
    <row r="44" spans="1:16" customHeight="1" ht="12.75">
      <c r="A44" s="18" t="s">
        <v>89</v>
      </c>
      <c r="B44" s="4" t="s">
        <v>90</v>
      </c>
      <c r="C44" s="43">
        <v>15991.452</v>
      </c>
      <c r="D44" s="43">
        <v>530</v>
      </c>
      <c r="E44" s="43">
        <v>3163</v>
      </c>
      <c r="F44" s="43">
        <v>0</v>
      </c>
      <c r="G44" s="43">
        <v>0</v>
      </c>
      <c r="H44" s="43">
        <v>-100</v>
      </c>
      <c r="I44" s="43">
        <v>0</v>
      </c>
      <c r="J44" s="43">
        <v>0</v>
      </c>
      <c r="K44" s="43">
        <v>0</v>
      </c>
      <c r="L44" s="43">
        <v>0</v>
      </c>
      <c r="M44" s="43"/>
      <c r="N44" s="43"/>
      <c r="O44" s="43"/>
      <c r="P44" s="44">
        <f>SUM(C44:O44)</f>
        <v>19584.452</v>
      </c>
    </row>
    <row r="45" spans="1:16" customHeight="1" ht="12.75">
      <c r="A45" s="18" t="s">
        <v>91</v>
      </c>
      <c r="B45" s="4" t="s">
        <v>92</v>
      </c>
      <c r="C45" s="43">
        <v>67882.578</v>
      </c>
      <c r="D45" s="43">
        <v>2763</v>
      </c>
      <c r="E45" s="43">
        <v>13442</v>
      </c>
      <c r="F45" s="43">
        <v>0</v>
      </c>
      <c r="G45" s="43">
        <v>0</v>
      </c>
      <c r="H45" s="43">
        <v>-2352</v>
      </c>
      <c r="I45" s="43">
        <v>0</v>
      </c>
      <c r="J45" s="43">
        <v>0</v>
      </c>
      <c r="K45" s="43">
        <v>0</v>
      </c>
      <c r="L45" s="43">
        <v>0</v>
      </c>
      <c r="M45" s="43"/>
      <c r="N45" s="43"/>
      <c r="O45" s="43"/>
      <c r="P45" s="44">
        <f>SUM(C45:O45)</f>
        <v>81735.578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622.694</v>
      </c>
      <c r="D47" s="43">
        <v>0</v>
      </c>
      <c r="E47" s="43">
        <v>0</v>
      </c>
      <c r="F47" s="43">
        <v>0</v>
      </c>
      <c r="G47" s="43">
        <v>0</v>
      </c>
      <c r="H47" s="43">
        <v>0</v>
      </c>
      <c r="I47" s="43">
        <v>0</v>
      </c>
      <c r="J47" s="43">
        <v>0</v>
      </c>
      <c r="K47" s="43">
        <v>0</v>
      </c>
      <c r="L47" s="43">
        <v>0</v>
      </c>
      <c r="M47" s="43"/>
      <c r="N47" s="43"/>
      <c r="O47" s="43"/>
      <c r="P47" s="44">
        <f>SUM(C47:O47)</f>
        <v>622.694</v>
      </c>
    </row>
    <row r="48" spans="1:16" customHeight="1" ht="12.75">
      <c r="A48" s="18" t="s">
        <v>97</v>
      </c>
      <c r="B48" s="4" t="s">
        <v>98</v>
      </c>
      <c r="C48" s="43">
        <v>39207.8</v>
      </c>
      <c r="D48" s="43">
        <v>0</v>
      </c>
      <c r="E48" s="43">
        <v>5428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0</v>
      </c>
      <c r="L48" s="43">
        <v>3360</v>
      </c>
      <c r="M48" s="43"/>
      <c r="N48" s="43"/>
      <c r="O48" s="43"/>
      <c r="P48" s="44">
        <f>SUM(C48:O48)</f>
        <v>47995.8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12808.94</v>
      </c>
      <c r="D50" s="43">
        <v>400</v>
      </c>
      <c r="E50" s="43">
        <v>300</v>
      </c>
      <c r="F50" s="43">
        <v>0</v>
      </c>
      <c r="G50" s="43">
        <v>1150</v>
      </c>
      <c r="H50" s="43">
        <v>300</v>
      </c>
      <c r="I50" s="43">
        <v>70</v>
      </c>
      <c r="J50" s="43">
        <v>200</v>
      </c>
      <c r="K50" s="43">
        <v>371</v>
      </c>
      <c r="L50" s="43">
        <v>18</v>
      </c>
      <c r="M50" s="43"/>
      <c r="N50" s="43"/>
      <c r="O50" s="43"/>
      <c r="P50" s="44">
        <f>SUM(C50:O50)</f>
        <v>15617.94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10681.478</v>
      </c>
      <c r="D54" s="43">
        <v>600</v>
      </c>
      <c r="E54" s="43">
        <v>2827</v>
      </c>
      <c r="F54" s="43">
        <v>0</v>
      </c>
      <c r="G54" s="43">
        <v>0</v>
      </c>
      <c r="H54" s="43">
        <v>752</v>
      </c>
      <c r="I54" s="43">
        <v>0</v>
      </c>
      <c r="J54" s="43">
        <v>0</v>
      </c>
      <c r="K54" s="43">
        <v>0</v>
      </c>
      <c r="L54" s="43">
        <v>0</v>
      </c>
      <c r="M54" s="43"/>
      <c r="N54" s="43"/>
      <c r="O54" s="43"/>
      <c r="P54" s="44">
        <f>SUM(C54:O54)</f>
        <v>14860.478</v>
      </c>
    </row>
    <row r="55" spans="1:16" customHeight="1" ht="12.75">
      <c r="A55" s="18" t="s">
        <v>110</v>
      </c>
      <c r="B55" s="4" t="s">
        <v>111</v>
      </c>
      <c r="C55" s="43">
        <v>8879</v>
      </c>
      <c r="D55" s="43">
        <v>1210</v>
      </c>
      <c r="E55" s="43">
        <v>3878</v>
      </c>
      <c r="F55" s="43">
        <v>0</v>
      </c>
      <c r="G55" s="43">
        <v>0</v>
      </c>
      <c r="H55" s="43">
        <v>-2775</v>
      </c>
      <c r="I55" s="43">
        <v>0</v>
      </c>
      <c r="J55" s="43">
        <v>2000</v>
      </c>
      <c r="K55" s="43">
        <v>0</v>
      </c>
      <c r="L55" s="43">
        <v>0</v>
      </c>
      <c r="M55" s="43"/>
      <c r="N55" s="43"/>
      <c r="O55" s="43"/>
      <c r="P55" s="44">
        <f>SUM(C55:O55)</f>
        <v>13192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22499.55</v>
      </c>
      <c r="D57" s="43">
        <v>10</v>
      </c>
      <c r="E57" s="43">
        <v>830</v>
      </c>
      <c r="F57" s="43">
        <v>0</v>
      </c>
      <c r="G57" s="43">
        <v>0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23339.55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4752</v>
      </c>
      <c r="D60" s="43">
        <v>370</v>
      </c>
      <c r="E60" s="43">
        <v>0</v>
      </c>
      <c r="F60" s="43">
        <v>58</v>
      </c>
      <c r="G60" s="43">
        <v>10</v>
      </c>
      <c r="H60" s="43">
        <v>0</v>
      </c>
      <c r="I60" s="43">
        <v>0</v>
      </c>
      <c r="J60" s="43">
        <v>0</v>
      </c>
      <c r="K60" s="43">
        <v>110</v>
      </c>
      <c r="L60" s="43">
        <v>0</v>
      </c>
      <c r="M60" s="43"/>
      <c r="N60" s="43"/>
      <c r="O60" s="43"/>
      <c r="P60" s="44">
        <f>SUM(C60:O60)</f>
        <v>5300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13904.084</v>
      </c>
      <c r="D66" s="43">
        <v>217</v>
      </c>
      <c r="E66" s="43">
        <v>7777</v>
      </c>
      <c r="F66" s="43">
        <v>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/>
      <c r="N66" s="43"/>
      <c r="O66" s="43"/>
      <c r="P66" s="44">
        <f>SUM(C66:O66)</f>
        <v>21898.084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1591.78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1591.78</v>
      </c>
    </row>
    <row r="74" spans="1:16" customHeight="1" ht="12.75">
      <c r="A74" s="18" t="s">
        <v>147</v>
      </c>
      <c r="B74" s="4" t="s">
        <v>148</v>
      </c>
      <c r="C74" s="43">
        <v>70734.5</v>
      </c>
      <c r="D74" s="43">
        <v>11900</v>
      </c>
      <c r="E74" s="43">
        <v>12924</v>
      </c>
      <c r="F74" s="43">
        <v>0</v>
      </c>
      <c r="G74" s="43">
        <v>2450</v>
      </c>
      <c r="H74" s="43">
        <v>6703</v>
      </c>
      <c r="I74" s="43">
        <v>1300</v>
      </c>
      <c r="J74" s="43">
        <v>1000</v>
      </c>
      <c r="K74" s="43">
        <v>988</v>
      </c>
      <c r="L74" s="43">
        <v>1220</v>
      </c>
      <c r="M74" s="43"/>
      <c r="N74" s="43"/>
      <c r="O74" s="43"/>
      <c r="P74" s="44">
        <f>SUM(C74:O74)</f>
        <v>109219.5</v>
      </c>
    </row>
    <row r="75" spans="1:16" customHeight="1" ht="12.75">
      <c r="A75" s="18" t="s">
        <v>149</v>
      </c>
      <c r="B75" s="4" t="s">
        <v>150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0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685275.508</v>
      </c>
      <c r="D83" s="43">
        <v>1400</v>
      </c>
      <c r="E83" s="43">
        <v>0</v>
      </c>
      <c r="F83" s="43">
        <v>0</v>
      </c>
      <c r="G83" s="43">
        <v>0</v>
      </c>
      <c r="H83" s="43">
        <v>0</v>
      </c>
      <c r="I83" s="43">
        <v>18000</v>
      </c>
      <c r="J83" s="43">
        <v>0</v>
      </c>
      <c r="K83" s="43">
        <v>32000</v>
      </c>
      <c r="L83" s="43">
        <v>131</v>
      </c>
      <c r="M83" s="43"/>
      <c r="N83" s="43"/>
      <c r="O83" s="43"/>
      <c r="P83" s="44">
        <f>SUM(C83:O83)</f>
        <v>736806.508</v>
      </c>
    </row>
    <row r="84" spans="1:16" customHeight="1" ht="12.75">
      <c r="A84" s="18" t="s">
        <v>166</v>
      </c>
      <c r="B84" s="4" t="s">
        <v>167</v>
      </c>
      <c r="C84" s="43">
        <v>68904.75</v>
      </c>
      <c r="D84" s="43">
        <v>5061</v>
      </c>
      <c r="E84" s="43">
        <v>1500</v>
      </c>
      <c r="F84" s="43">
        <v>2655</v>
      </c>
      <c r="G84" s="43">
        <v>1250</v>
      </c>
      <c r="H84" s="43">
        <v>9000</v>
      </c>
      <c r="I84" s="43">
        <v>2000</v>
      </c>
      <c r="J84" s="43">
        <v>2000</v>
      </c>
      <c r="K84" s="43">
        <v>4000</v>
      </c>
      <c r="L84" s="43">
        <v>0</v>
      </c>
      <c r="M84" s="43"/>
      <c r="N84" s="43"/>
      <c r="O84" s="43"/>
      <c r="P84" s="44">
        <f>SUM(C84:O84)</f>
        <v>96370.75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-122028.192</v>
      </c>
      <c r="D89" s="43">
        <v>-29413</v>
      </c>
      <c r="E89" s="43">
        <v>-79782</v>
      </c>
      <c r="F89" s="43">
        <v>4120</v>
      </c>
      <c r="G89" s="43">
        <v>0</v>
      </c>
      <c r="H89" s="43">
        <v>33034</v>
      </c>
      <c r="I89" s="43">
        <v>-27670</v>
      </c>
      <c r="J89" s="43">
        <v>-11300</v>
      </c>
      <c r="K89" s="43">
        <v>-70859</v>
      </c>
      <c r="L89" s="43">
        <v>-9455</v>
      </c>
      <c r="M89" s="43"/>
      <c r="N89" s="43"/>
      <c r="O89" s="43"/>
      <c r="P89" s="44">
        <f>SUM(C89:O89)</f>
        <v>-313353.192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6801</v>
      </c>
      <c r="D92" s="43">
        <v>550</v>
      </c>
      <c r="E92" s="43">
        <v>595</v>
      </c>
      <c r="F92" s="43">
        <v>475</v>
      </c>
      <c r="G92" s="43">
        <v>600</v>
      </c>
      <c r="H92" s="43">
        <v>115820</v>
      </c>
      <c r="I92" s="43">
        <v>6000</v>
      </c>
      <c r="J92" s="43">
        <v>6000</v>
      </c>
      <c r="K92" s="43">
        <v>7473</v>
      </c>
      <c r="L92" s="43">
        <v>3627</v>
      </c>
      <c r="M92" s="43"/>
      <c r="N92" s="43"/>
      <c r="O92" s="43"/>
      <c r="P92" s="44">
        <f>SUM(C92:O92)</f>
        <v>147941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0.02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0.02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1104037.134</v>
      </c>
      <c r="D107" s="47">
        <f>SUM(D38:D106)</f>
        <v>1251</v>
      </c>
      <c r="E107" s="47">
        <f>SUM(E38:E106)</f>
        <v>-1251</v>
      </c>
      <c r="F107" s="47">
        <f>SUM(F38:F106)</f>
        <v>7308</v>
      </c>
      <c r="G107" s="47">
        <f>SUM(G38:G106)</f>
        <v>7960</v>
      </c>
      <c r="H107" s="47">
        <f>SUM(H38:H106)</f>
        <v>71293</v>
      </c>
      <c r="I107" s="47">
        <f>SUM(I38:I106)</f>
        <v>0</v>
      </c>
      <c r="J107" s="47">
        <f>SUM(J38:J106)</f>
        <v>0</v>
      </c>
      <c r="K107" s="47">
        <f>SUM(K38:K106)</f>
        <v>-25826</v>
      </c>
      <c r="L107" s="47">
        <f>SUM(L38:L106)</f>
        <v>0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1164772.134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100021.979</v>
      </c>
      <c r="D109" s="49">
        <f>D36-D107</f>
        <v>-1251</v>
      </c>
      <c r="E109" s="49">
        <f>E36-E107</f>
        <v>1251</v>
      </c>
      <c r="F109" s="49">
        <f>F36-F107</f>
        <v>-7308</v>
      </c>
      <c r="G109" s="49">
        <f>G36-G107</f>
        <v>-1529</v>
      </c>
      <c r="H109" s="49">
        <f>H36-H107</f>
        <v>-71293</v>
      </c>
      <c r="I109" s="49">
        <f>I36-I107</f>
        <v>0</v>
      </c>
      <c r="J109" s="49">
        <f>J36-J107</f>
        <v>0</v>
      </c>
      <c r="K109" s="49">
        <f>K36-K107</f>
        <v>25826</v>
      </c>
      <c r="L109" s="49">
        <f>L36-L107</f>
        <v>0</v>
      </c>
      <c r="M109" s="49"/>
      <c r="N109" s="49"/>
      <c r="O109" s="49"/>
      <c r="P109" s="50">
        <f>P36-P107</f>
        <v>45717.979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-5431.25218833</v>
      </c>
      <c r="D118" s="45">
        <v>56.05271527</v>
      </c>
      <c r="E118" s="45">
        <v>116.48594587</v>
      </c>
      <c r="F118" s="45">
        <v>146.76801195</v>
      </c>
      <c r="G118" s="45">
        <v>198.12593364</v>
      </c>
      <c r="H118" s="45">
        <v>244.64988303</v>
      </c>
      <c r="I118" s="45">
        <v>303.25265596</v>
      </c>
      <c r="J118" s="45">
        <v>402.58436944</v>
      </c>
      <c r="K118" s="45">
        <v>453.62268691</v>
      </c>
      <c r="L118" s="45">
        <v>534.52168325</v>
      </c>
      <c r="M118" s="45"/>
      <c r="N118" s="45"/>
      <c r="O118" s="45"/>
      <c r="P118" s="46">
        <f>SUM(C118:O118)</f>
        <v>-2975.18830301</v>
      </c>
    </row>
    <row r="119" spans="1:16" customHeight="1" ht="12.75">
      <c r="A119" s="20">
        <v>4.3</v>
      </c>
      <c r="B119" s="15" t="s">
        <v>210</v>
      </c>
      <c r="C119" s="47">
        <f>SUM(C111:C118)</f>
        <v>-5431.25218833</v>
      </c>
      <c r="D119" s="47">
        <f>SUM(D111:D118)</f>
        <v>56.05271527</v>
      </c>
      <c r="E119" s="47">
        <f>SUM(E111:E118)</f>
        <v>116.48594587</v>
      </c>
      <c r="F119" s="47">
        <f>SUM(F111:F118)</f>
        <v>146.76801195</v>
      </c>
      <c r="G119" s="47">
        <f>SUM(G111:G118)</f>
        <v>198.12593364</v>
      </c>
      <c r="H119" s="47">
        <f>SUM(H111:H118)</f>
        <v>244.64988303</v>
      </c>
      <c r="I119" s="47">
        <f>SUM(I111:I118)</f>
        <v>303.25265596</v>
      </c>
      <c r="J119" s="47">
        <f>SUM(J111:J118)</f>
        <v>402.58436944</v>
      </c>
      <c r="K119" s="47">
        <f>SUM(K111:K118)</f>
        <v>453.62268691</v>
      </c>
      <c r="L119" s="47">
        <f>SUM(L111:L118)</f>
        <v>534.52168325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-2975.18830301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105453.23118833</v>
      </c>
      <c r="D121" s="49">
        <f>D109-D119</f>
        <v>-1307.05271527</v>
      </c>
      <c r="E121" s="49">
        <f>E109-E119</f>
        <v>1134.51405413</v>
      </c>
      <c r="F121" s="49">
        <f>F109-F119</f>
        <v>-7454.76801195</v>
      </c>
      <c r="G121" s="49">
        <f>G109-G119</f>
        <v>-1727.12593364</v>
      </c>
      <c r="H121" s="49">
        <f>H109-H119</f>
        <v>-71537.64988303</v>
      </c>
      <c r="I121" s="49">
        <f>I109-I119</f>
        <v>-303.25265596</v>
      </c>
      <c r="J121" s="49">
        <f>J109-J119</f>
        <v>-402.58436944</v>
      </c>
      <c r="K121" s="49">
        <f>K109-K119</f>
        <v>25372.37731309</v>
      </c>
      <c r="L121" s="49">
        <f>L109-L119</f>
        <v>-534.52168325</v>
      </c>
      <c r="M121" s="49"/>
      <c r="N121" s="49"/>
      <c r="O121" s="49"/>
      <c r="P121" s="50">
        <f>P109-P119</f>
        <v>48693.16730301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36003.4521</v>
      </c>
      <c r="D125" s="43">
        <f>(D36-D18-D20-D33)*D124</f>
        <v>0</v>
      </c>
      <c r="E125" s="43">
        <f>(E36-E18-E20-E33)*E124</f>
        <v>0</v>
      </c>
      <c r="F125" s="43">
        <f>(F36-F18-F20-F33)*F124</f>
        <v>0</v>
      </c>
      <c r="G125" s="43">
        <f>(G36-G18-G20-G33)*G124</f>
        <v>385.86</v>
      </c>
      <c r="H125" s="43">
        <f>(H36-H18-H20-H33)*H124</f>
        <v>0</v>
      </c>
      <c r="I125" s="43">
        <f>(I36-I18-I20-I33)*I124</f>
        <v>0</v>
      </c>
      <c r="J125" s="43">
        <f>(J36-J18-J20-J33)*J124</f>
        <v>0</v>
      </c>
      <c r="K125" s="43">
        <f>(K36-K18-K20-K33)*K124</f>
        <v>0</v>
      </c>
      <c r="L125" s="43">
        <f>(L36-L18-L20-L33)*L124</f>
        <v>0</v>
      </c>
      <c r="M125" s="43"/>
      <c r="N125" s="43"/>
      <c r="O125" s="43"/>
      <c r="P125" s="44">
        <f>SUM(C125:O125)</f>
        <v>36389.3121</v>
      </c>
    </row>
    <row r="126" spans="1:16" customHeight="1" ht="12.75">
      <c r="A126" s="18" t="s">
        <v>216</v>
      </c>
      <c r="B126" s="4" t="s">
        <v>217</v>
      </c>
      <c r="C126" s="43">
        <f>(C36-C18-C20-C33)*0.006000</f>
        <v>7200.69042</v>
      </c>
      <c r="D126" s="43">
        <f>(D36-D18-D20-D33)*0.006000</f>
        <v>0</v>
      </c>
      <c r="E126" s="43">
        <f>(E36-E18-E20-E33)*0.006000</f>
        <v>0</v>
      </c>
      <c r="F126" s="43">
        <f>(F36-F18-F20-F33)*0.006000</f>
        <v>0</v>
      </c>
      <c r="G126" s="43">
        <f>(G36-G18-G20-G33)*0.006000</f>
        <v>38.586</v>
      </c>
      <c r="H126" s="43">
        <f>(H36-H18-H20-H33)*0.006000</f>
        <v>0</v>
      </c>
      <c r="I126" s="43">
        <f>(I36-I18-I20-I33)*0.006000</f>
        <v>0</v>
      </c>
      <c r="J126" s="43">
        <f>(J36-J18-J20-J33)*0.006000</f>
        <v>0</v>
      </c>
      <c r="K126" s="43">
        <f>(K36-K18-K20-K33)*0.006000</f>
        <v>0</v>
      </c>
      <c r="L126" s="43">
        <f>(L36-L18-L20-L33)*0.006000</f>
        <v>0</v>
      </c>
      <c r="M126" s="43"/>
      <c r="N126" s="43"/>
      <c r="O126" s="43"/>
      <c r="P126" s="44">
        <f>(P36-P18-P20-P33)*0.006000</f>
        <v>7239.27642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62249.08866833</v>
      </c>
      <c r="D129" s="51">
        <f>D121-SUM(D125:D126)+IF(ISBLANK(D127), 0, D127)</f>
        <v>-1307.05271527</v>
      </c>
      <c r="E129" s="51">
        <f>E121-SUM(E125:E126)+IF(ISBLANK(E127), 0, E127)</f>
        <v>1134.51405413</v>
      </c>
      <c r="F129" s="51">
        <f>F121-SUM(F125:F126)+IF(ISBLANK(F127), 0, F127)</f>
        <v>-7454.76801195</v>
      </c>
      <c r="G129" s="51">
        <f>G121-SUM(G125:G126)+IF(ISBLANK(G127), 0, G127)</f>
        <v>-2151.57193364</v>
      </c>
      <c r="H129" s="51">
        <f>H121-SUM(H125:H126)+IF(ISBLANK(H127), 0, H127)</f>
        <v>-71537.64988303</v>
      </c>
      <c r="I129" s="51">
        <f>I121-SUM(I125:I126)+IF(ISBLANK(I127), 0, I127)</f>
        <v>-303.25265596</v>
      </c>
      <c r="J129" s="51">
        <f>J121-SUM(J125:J126)+IF(ISBLANK(J127), 0, J127)</f>
        <v>-402.58436944</v>
      </c>
      <c r="K129" s="51">
        <f>K121-SUM(K125:K126)+IF(ISBLANK(K127), 0, K127)</f>
        <v>25372.37731309</v>
      </c>
      <c r="L129" s="51">
        <f>L121-SUM(L125:L126)+IF(ISBLANK(L127), 0, L127)</f>
        <v>-534.52168325</v>
      </c>
      <c r="M129" s="51"/>
      <c r="N129" s="51"/>
      <c r="O129" s="51"/>
      <c r="P129" s="52">
        <f>P121-SUM(P125:P126)+IF(ISBLANK(P127), 0, P127)</f>
        <v>5064.5787830101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997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235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450904.637</v>
      </c>
      <c r="D14" s="43">
        <v>0</v>
      </c>
      <c r="E14" s="43">
        <v>0</v>
      </c>
      <c r="F14" s="43">
        <v>0</v>
      </c>
      <c r="G14" s="43">
        <v>0</v>
      </c>
      <c r="H14" s="43">
        <v>0</v>
      </c>
      <c r="I14" s="43">
        <v>0</v>
      </c>
      <c r="J14" s="43">
        <v>0</v>
      </c>
      <c r="K14" s="43">
        <v>0</v>
      </c>
      <c r="L14" s="43">
        <v>0</v>
      </c>
      <c r="M14" s="43"/>
      <c r="N14" s="43"/>
      <c r="O14" s="43"/>
      <c r="P14" s="44">
        <f>SUM(C14:O14)</f>
        <v>450904.637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320650.19872</v>
      </c>
      <c r="D16" s="43">
        <v>6463</v>
      </c>
      <c r="E16" s="43">
        <v>6074</v>
      </c>
      <c r="F16" s="43">
        <v>9954</v>
      </c>
      <c r="G16" s="43">
        <v>3269</v>
      </c>
      <c r="H16" s="43">
        <v>3831</v>
      </c>
      <c r="I16" s="43">
        <v>0</v>
      </c>
      <c r="J16" s="43">
        <v>6347</v>
      </c>
      <c r="K16" s="43">
        <v>5892</v>
      </c>
      <c r="L16" s="43">
        <v>10164</v>
      </c>
      <c r="M16" s="43"/>
      <c r="N16" s="43"/>
      <c r="O16" s="43"/>
      <c r="P16" s="44">
        <f>SUM(C16:O16)</f>
        <v>372644.19872</v>
      </c>
    </row>
    <row r="17" spans="1:16" customHeight="1" ht="12.75">
      <c r="A17" s="18" t="s">
        <v>54</v>
      </c>
      <c r="B17" s="4" t="s">
        <v>55</v>
      </c>
      <c r="C17" s="43">
        <v>60923.0802</v>
      </c>
      <c r="D17" s="43">
        <v>1228</v>
      </c>
      <c r="E17" s="43">
        <v>1155</v>
      </c>
      <c r="F17" s="43">
        <v>1891</v>
      </c>
      <c r="G17" s="43">
        <v>621</v>
      </c>
      <c r="H17" s="43">
        <v>688</v>
      </c>
      <c r="I17" s="43">
        <v>0</v>
      </c>
      <c r="J17" s="43">
        <v>1142</v>
      </c>
      <c r="K17" s="43">
        <v>1125</v>
      </c>
      <c r="L17" s="43">
        <v>1931</v>
      </c>
      <c r="M17" s="43"/>
      <c r="N17" s="43"/>
      <c r="O17" s="43"/>
      <c r="P17" s="44">
        <f>SUM(C17:O17)</f>
        <v>70704.0802</v>
      </c>
    </row>
    <row r="18" spans="1:16" customHeight="1" ht="12.75">
      <c r="A18" s="18">
        <v>1.3</v>
      </c>
      <c r="B18" s="4" t="s">
        <v>56</v>
      </c>
      <c r="C18" s="43">
        <v>2030.41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676</v>
      </c>
      <c r="L18" s="43">
        <v>0</v>
      </c>
      <c r="M18" s="43"/>
      <c r="N18" s="43"/>
      <c r="O18" s="43"/>
      <c r="P18" s="44">
        <f>SUM(C18:O18)</f>
        <v>2706.41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152913</v>
      </c>
      <c r="D23" s="43">
        <v>2581</v>
      </c>
      <c r="E23" s="43">
        <v>5419</v>
      </c>
      <c r="F23" s="43">
        <v>4178</v>
      </c>
      <c r="G23" s="43">
        <v>3127</v>
      </c>
      <c r="H23" s="43">
        <v>1200</v>
      </c>
      <c r="I23" s="43">
        <v>828</v>
      </c>
      <c r="J23" s="43">
        <v>4587</v>
      </c>
      <c r="K23" s="43">
        <v>3322</v>
      </c>
      <c r="L23" s="43">
        <v>4954</v>
      </c>
      <c r="M23" s="43"/>
      <c r="N23" s="43"/>
      <c r="O23" s="43"/>
      <c r="P23" s="44">
        <f>SUM(C23:O23)</f>
        <v>183109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57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57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987478.32592</v>
      </c>
      <c r="D36" s="47">
        <f>SUM(D13:D35)</f>
        <v>10272</v>
      </c>
      <c r="E36" s="47">
        <f>SUM(E13:E35)</f>
        <v>12648</v>
      </c>
      <c r="F36" s="47">
        <f>SUM(F13:F35)</f>
        <v>16023</v>
      </c>
      <c r="G36" s="47">
        <f>SUM(G13:G35)</f>
        <v>7017</v>
      </c>
      <c r="H36" s="47">
        <f>SUM(H13:H35)</f>
        <v>5719</v>
      </c>
      <c r="I36" s="47">
        <f>SUM(I13:I35)</f>
        <v>828</v>
      </c>
      <c r="J36" s="47">
        <f>SUM(J13:J35)</f>
        <v>12076</v>
      </c>
      <c r="K36" s="47">
        <f>SUM(K13:K35)</f>
        <v>11015</v>
      </c>
      <c r="L36" s="47">
        <f>SUM(L13:L35)</f>
        <v>17049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1080125.32592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85440.08066</v>
      </c>
      <c r="D40" s="43">
        <v>1532.99</v>
      </c>
      <c r="E40" s="43">
        <v>1943.64</v>
      </c>
      <c r="F40" s="43">
        <v>1491.28</v>
      </c>
      <c r="G40" s="43">
        <v>1207.6</v>
      </c>
      <c r="H40" s="43">
        <v>1315.36</v>
      </c>
      <c r="I40" s="43">
        <v>1311.06</v>
      </c>
      <c r="J40" s="43">
        <v>1234.6007</v>
      </c>
      <c r="K40" s="43">
        <v>1065.6485</v>
      </c>
      <c r="L40" s="43">
        <v>1131.3624</v>
      </c>
      <c r="M40" s="43"/>
      <c r="N40" s="43"/>
      <c r="O40" s="43"/>
      <c r="P40" s="44">
        <f>SUM(C40:O40)</f>
        <v>97673.62226</v>
      </c>
    </row>
    <row r="41" spans="1:16" customHeight="1" ht="12.75">
      <c r="A41" s="18" t="s">
        <v>83</v>
      </c>
      <c r="B41" s="4" t="s">
        <v>84</v>
      </c>
      <c r="C41" s="43">
        <v>292.99</v>
      </c>
      <c r="D41" s="43">
        <v>-28.94</v>
      </c>
      <c r="E41" s="43">
        <v>49.06</v>
      </c>
      <c r="F41" s="43">
        <v>58.86</v>
      </c>
      <c r="G41" s="43">
        <v>69.4</v>
      </c>
      <c r="H41" s="43">
        <v>474.79945</v>
      </c>
      <c r="I41" s="43">
        <v>315.22118</v>
      </c>
      <c r="J41" s="43">
        <v>92.5101</v>
      </c>
      <c r="K41" s="43">
        <v>101.55161</v>
      </c>
      <c r="L41" s="43">
        <v>1113.19014</v>
      </c>
      <c r="M41" s="43"/>
      <c r="N41" s="43"/>
      <c r="O41" s="43"/>
      <c r="P41" s="44">
        <f>SUM(C41:O41)</f>
        <v>2538.64248</v>
      </c>
    </row>
    <row r="42" spans="1:16" customHeight="1" ht="12.75">
      <c r="A42" s="18" t="s">
        <v>85</v>
      </c>
      <c r="B42" s="4" t="s">
        <v>86</v>
      </c>
      <c r="C42" s="43">
        <v>1380.79751</v>
      </c>
      <c r="D42" s="43">
        <v>-54.58</v>
      </c>
      <c r="E42" s="43">
        <v>12.98</v>
      </c>
      <c r="F42" s="43">
        <v>26.67</v>
      </c>
      <c r="G42" s="43">
        <v>14.3</v>
      </c>
      <c r="H42" s="43">
        <v>69.05</v>
      </c>
      <c r="I42" s="43">
        <v>80.74</v>
      </c>
      <c r="J42" s="43">
        <v>53.499</v>
      </c>
      <c r="K42" s="43">
        <v>72.25555</v>
      </c>
      <c r="L42" s="43">
        <v>72.45</v>
      </c>
      <c r="M42" s="43"/>
      <c r="N42" s="43"/>
      <c r="O42" s="43"/>
      <c r="P42" s="44">
        <f>SUM(C42:O42)</f>
        <v>1728.16206</v>
      </c>
    </row>
    <row r="43" spans="1:16" customHeight="1" ht="12.75">
      <c r="A43" s="18" t="s">
        <v>87</v>
      </c>
      <c r="B43" s="4" t="s">
        <v>88</v>
      </c>
      <c r="C43" s="43">
        <v>108135.70402</v>
      </c>
      <c r="D43" s="43">
        <v>4137.02</v>
      </c>
      <c r="E43" s="43">
        <v>511.59352</v>
      </c>
      <c r="F43" s="43">
        <v>436.86613</v>
      </c>
      <c r="G43" s="43">
        <v>1030.0734</v>
      </c>
      <c r="H43" s="43">
        <v>-82672.65517</v>
      </c>
      <c r="I43" s="43">
        <v>-3987.45235</v>
      </c>
      <c r="J43" s="43">
        <v>388.0125</v>
      </c>
      <c r="K43" s="43">
        <v>246.75857</v>
      </c>
      <c r="L43" s="43">
        <v>339.35357</v>
      </c>
      <c r="M43" s="43"/>
      <c r="N43" s="43"/>
      <c r="O43" s="43"/>
      <c r="P43" s="44">
        <f>SUM(C43:O43)</f>
        <v>28565.27419</v>
      </c>
    </row>
    <row r="44" spans="1:16" customHeight="1" ht="12.75">
      <c r="A44" s="18" t="s">
        <v>89</v>
      </c>
      <c r="B44" s="4" t="s">
        <v>90</v>
      </c>
      <c r="C44" s="43">
        <v>15986.70285</v>
      </c>
      <c r="D44" s="43">
        <v>200.1065</v>
      </c>
      <c r="E44" s="43">
        <v>1283.4614</v>
      </c>
      <c r="F44" s="43">
        <v>121.338</v>
      </c>
      <c r="G44" s="43">
        <v>58.697</v>
      </c>
      <c r="H44" s="43">
        <v>83.2982</v>
      </c>
      <c r="I44" s="43">
        <v>-539.617</v>
      </c>
      <c r="J44" s="43">
        <v>47.72</v>
      </c>
      <c r="K44" s="43">
        <v>71.789</v>
      </c>
      <c r="L44" s="43">
        <v>69.631</v>
      </c>
      <c r="M44" s="43"/>
      <c r="N44" s="43"/>
      <c r="O44" s="43"/>
      <c r="P44" s="44">
        <f>SUM(C44:O44)</f>
        <v>17383.12695</v>
      </c>
    </row>
    <row r="45" spans="1:16" customHeight="1" ht="12.75">
      <c r="A45" s="18" t="s">
        <v>91</v>
      </c>
      <c r="B45" s="4" t="s">
        <v>92</v>
      </c>
      <c r="C45" s="43">
        <v>67906.9448</v>
      </c>
      <c r="D45" s="43">
        <v>2530.78444</v>
      </c>
      <c r="E45" s="43">
        <v>946.58713</v>
      </c>
      <c r="F45" s="43">
        <v>2481.58205</v>
      </c>
      <c r="G45" s="43">
        <v>424.00168</v>
      </c>
      <c r="H45" s="43">
        <v>1067.60205</v>
      </c>
      <c r="I45" s="43">
        <v>1172.32468</v>
      </c>
      <c r="J45" s="43">
        <v>1591.26654</v>
      </c>
      <c r="K45" s="43">
        <v>1063.89616</v>
      </c>
      <c r="L45" s="43">
        <v>2149.04422</v>
      </c>
      <c r="M45" s="43"/>
      <c r="N45" s="43"/>
      <c r="O45" s="43"/>
      <c r="P45" s="44">
        <f>SUM(C45:O45)</f>
        <v>81334.03375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538.7129</v>
      </c>
      <c r="D47" s="43">
        <v>1.024</v>
      </c>
      <c r="E47" s="43">
        <v>6.877</v>
      </c>
      <c r="F47" s="43">
        <v>5.823</v>
      </c>
      <c r="G47" s="43">
        <v>14.339</v>
      </c>
      <c r="H47" s="43">
        <v>8.525</v>
      </c>
      <c r="I47" s="43">
        <v>0.192</v>
      </c>
      <c r="J47" s="43">
        <v>6.214</v>
      </c>
      <c r="K47" s="43">
        <v>4.267</v>
      </c>
      <c r="L47" s="43">
        <v>0</v>
      </c>
      <c r="M47" s="43"/>
      <c r="N47" s="43"/>
      <c r="O47" s="43"/>
      <c r="P47" s="44">
        <f>SUM(C47:O47)</f>
        <v>585.9739</v>
      </c>
    </row>
    <row r="48" spans="1:16" customHeight="1" ht="12.75">
      <c r="A48" s="18" t="s">
        <v>97</v>
      </c>
      <c r="B48" s="4" t="s">
        <v>98</v>
      </c>
      <c r="C48" s="43">
        <v>39207.08517</v>
      </c>
      <c r="D48" s="43">
        <v>4478</v>
      </c>
      <c r="E48" s="43">
        <v>950.5904</v>
      </c>
      <c r="F48" s="43">
        <v>0</v>
      </c>
      <c r="G48" s="43">
        <v>0</v>
      </c>
      <c r="H48" s="43">
        <v>0</v>
      </c>
      <c r="I48" s="43">
        <v>0</v>
      </c>
      <c r="J48" s="43">
        <v>0</v>
      </c>
      <c r="K48" s="43">
        <v>2</v>
      </c>
      <c r="L48" s="43">
        <v>3358</v>
      </c>
      <c r="M48" s="43"/>
      <c r="N48" s="43"/>
      <c r="O48" s="43"/>
      <c r="P48" s="44">
        <f>SUM(C48:O48)</f>
        <v>47995.67557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12764.94896</v>
      </c>
      <c r="D50" s="43">
        <v>236.2048</v>
      </c>
      <c r="E50" s="43">
        <v>240.6684</v>
      </c>
      <c r="F50" s="43">
        <v>182.7507</v>
      </c>
      <c r="G50" s="43">
        <v>828.95664</v>
      </c>
      <c r="H50" s="43">
        <v>414.38515</v>
      </c>
      <c r="I50" s="43">
        <v>297.0806</v>
      </c>
      <c r="J50" s="43">
        <v>191.2416</v>
      </c>
      <c r="K50" s="43">
        <v>128.7105</v>
      </c>
      <c r="L50" s="43">
        <v>287.669</v>
      </c>
      <c r="M50" s="43"/>
      <c r="N50" s="43"/>
      <c r="O50" s="43"/>
      <c r="P50" s="44">
        <f>SUM(C50:O50)</f>
        <v>15572.61635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10681.3425</v>
      </c>
      <c r="D54" s="43">
        <v>387.3805</v>
      </c>
      <c r="E54" s="43">
        <v>389.026</v>
      </c>
      <c r="F54" s="43">
        <v>475.2265</v>
      </c>
      <c r="G54" s="43">
        <v>0</v>
      </c>
      <c r="H54" s="43">
        <v>361.024</v>
      </c>
      <c r="I54" s="43">
        <v>295.7485</v>
      </c>
      <c r="J54" s="43">
        <v>178.459</v>
      </c>
      <c r="K54" s="43">
        <v>227.097</v>
      </c>
      <c r="L54" s="43">
        <v>312.636</v>
      </c>
      <c r="M54" s="43"/>
      <c r="N54" s="43"/>
      <c r="O54" s="43"/>
      <c r="P54" s="44">
        <f>SUM(C54:O54)</f>
        <v>13307.94</v>
      </c>
    </row>
    <row r="55" spans="1:16" customHeight="1" ht="12.75">
      <c r="A55" s="18" t="s">
        <v>110</v>
      </c>
      <c r="B55" s="4" t="s">
        <v>111</v>
      </c>
      <c r="C55" s="43">
        <v>8926.83665</v>
      </c>
      <c r="D55" s="43">
        <v>1352.18875</v>
      </c>
      <c r="E55" s="43">
        <v>0</v>
      </c>
      <c r="F55" s="43">
        <v>0</v>
      </c>
      <c r="G55" s="43">
        <v>11.7442</v>
      </c>
      <c r="H55" s="43">
        <v>0.14</v>
      </c>
      <c r="I55" s="43">
        <v>0</v>
      </c>
      <c r="J55" s="43">
        <v>0</v>
      </c>
      <c r="K55" s="43">
        <v>2199.64</v>
      </c>
      <c r="L55" s="43">
        <v>10.16</v>
      </c>
      <c r="M55" s="43"/>
      <c r="N55" s="43"/>
      <c r="O55" s="43"/>
      <c r="P55" s="44">
        <f>SUM(C55:O55)</f>
        <v>12500.7096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22463.92766</v>
      </c>
      <c r="D57" s="43">
        <v>44.02</v>
      </c>
      <c r="E57" s="43">
        <v>11.9996</v>
      </c>
      <c r="F57" s="43">
        <v>0</v>
      </c>
      <c r="G57" s="43">
        <v>39.356</v>
      </c>
      <c r="H57" s="43">
        <v>0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22559.30326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4746.60718</v>
      </c>
      <c r="D60" s="43">
        <v>0</v>
      </c>
      <c r="E60" s="43">
        <v>368.25</v>
      </c>
      <c r="F60" s="43">
        <v>0</v>
      </c>
      <c r="G60" s="43">
        <v>22.104</v>
      </c>
      <c r="H60" s="43">
        <v>52.75</v>
      </c>
      <c r="I60" s="43">
        <v>0</v>
      </c>
      <c r="J60" s="43">
        <v>0</v>
      </c>
      <c r="K60" s="43">
        <v>0</v>
      </c>
      <c r="L60" s="43">
        <v>13.2</v>
      </c>
      <c r="M60" s="43"/>
      <c r="N60" s="43"/>
      <c r="O60" s="43"/>
      <c r="P60" s="44">
        <f>SUM(C60:O60)</f>
        <v>5202.91118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13902.53407</v>
      </c>
      <c r="D66" s="43">
        <v>127.7812</v>
      </c>
      <c r="E66" s="43">
        <v>116.02</v>
      </c>
      <c r="F66" s="43">
        <v>740.82514</v>
      </c>
      <c r="G66" s="43">
        <v>1309.635</v>
      </c>
      <c r="H66" s="43">
        <v>-45.06474</v>
      </c>
      <c r="I66" s="43">
        <v>59.531</v>
      </c>
      <c r="J66" s="43">
        <v>91.096</v>
      </c>
      <c r="K66" s="43">
        <v>222.5747</v>
      </c>
      <c r="L66" s="43">
        <v>53.4</v>
      </c>
      <c r="M66" s="43"/>
      <c r="N66" s="43"/>
      <c r="O66" s="43"/>
      <c r="P66" s="44">
        <f>SUM(C66:O66)</f>
        <v>16578.33237</v>
      </c>
    </row>
    <row r="67" spans="1:16" customHeight="1" ht="12.75">
      <c r="A67" s="18" t="s">
        <v>134</v>
      </c>
      <c r="B67" s="4" t="s">
        <v>135</v>
      </c>
      <c r="C67" s="43">
        <v>0</v>
      </c>
      <c r="D67" s="43">
        <v>0</v>
      </c>
      <c r="E67" s="43">
        <v>0</v>
      </c>
      <c r="F67" s="43">
        <v>0</v>
      </c>
      <c r="G67" s="43">
        <v>0</v>
      </c>
      <c r="H67" s="43">
        <v>0</v>
      </c>
      <c r="I67" s="43">
        <v>0</v>
      </c>
      <c r="J67" s="43">
        <v>0</v>
      </c>
      <c r="K67" s="43">
        <v>0</v>
      </c>
      <c r="L67" s="43">
        <v>0</v>
      </c>
      <c r="M67" s="43"/>
      <c r="N67" s="43"/>
      <c r="O67" s="43"/>
      <c r="P67" s="44">
        <f>SUM(C67:O67)</f>
        <v>0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1562.772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1562.772</v>
      </c>
    </row>
    <row r="74" spans="1:16" customHeight="1" ht="12.75">
      <c r="A74" s="18" t="s">
        <v>147</v>
      </c>
      <c r="B74" s="4" t="s">
        <v>148</v>
      </c>
      <c r="C74" s="43">
        <v>70829.51191</v>
      </c>
      <c r="D74" s="43">
        <v>9063.06036</v>
      </c>
      <c r="E74" s="43">
        <v>14281.26265</v>
      </c>
      <c r="F74" s="43">
        <v>1141.8657</v>
      </c>
      <c r="G74" s="43">
        <v>1649.81365</v>
      </c>
      <c r="H74" s="43">
        <v>1190.97</v>
      </c>
      <c r="I74" s="43">
        <v>7048.807</v>
      </c>
      <c r="J74" s="43">
        <v>1076.16</v>
      </c>
      <c r="K74" s="43">
        <v>902.66</v>
      </c>
      <c r="L74" s="43">
        <v>1061.95</v>
      </c>
      <c r="M74" s="43"/>
      <c r="N74" s="43"/>
      <c r="O74" s="43"/>
      <c r="P74" s="44">
        <f>SUM(C74:O74)</f>
        <v>108246.06127</v>
      </c>
    </row>
    <row r="75" spans="1:16" customHeight="1" ht="12.75">
      <c r="A75" s="18" t="s">
        <v>149</v>
      </c>
      <c r="B75" s="4" t="s">
        <v>150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0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685818.87075</v>
      </c>
      <c r="D83" s="43">
        <v>0</v>
      </c>
      <c r="E83" s="43">
        <v>0</v>
      </c>
      <c r="F83" s="43">
        <v>366</v>
      </c>
      <c r="G83" s="43">
        <v>0</v>
      </c>
      <c r="H83" s="43">
        <v>0</v>
      </c>
      <c r="I83" s="43">
        <v>16350.79</v>
      </c>
      <c r="J83" s="43">
        <v>0</v>
      </c>
      <c r="K83" s="43">
        <v>0</v>
      </c>
      <c r="L83" s="43">
        <v>34270.347</v>
      </c>
      <c r="M83" s="43"/>
      <c r="N83" s="43"/>
      <c r="O83" s="43"/>
      <c r="P83" s="44">
        <f>SUM(C83:O83)</f>
        <v>736806.00775</v>
      </c>
    </row>
    <row r="84" spans="1:16" customHeight="1" ht="12.75">
      <c r="A84" s="18" t="s">
        <v>166</v>
      </c>
      <c r="B84" s="4" t="s">
        <v>167</v>
      </c>
      <c r="C84" s="43">
        <v>94610.89864</v>
      </c>
      <c r="D84" s="43">
        <v>515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/>
      <c r="N84" s="43"/>
      <c r="O84" s="43"/>
      <c r="P84" s="44">
        <f>SUM(C84:O84)</f>
        <v>95125.89864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/>
      <c r="N86" s="43"/>
      <c r="O86" s="43"/>
      <c r="P86" s="44">
        <f>SUM(C86:O86)</f>
        <v>0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0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/>
      <c r="N90" s="43"/>
      <c r="O90" s="43"/>
      <c r="P90" s="44">
        <f>SUM(C90:O90)</f>
        <v>0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6799.77896</v>
      </c>
      <c r="D92" s="43">
        <v>8137.62869</v>
      </c>
      <c r="E92" s="43">
        <v>5527.9478</v>
      </c>
      <c r="F92" s="43">
        <v>4887.97384</v>
      </c>
      <c r="G92" s="43">
        <v>5141.2916</v>
      </c>
      <c r="H92" s="43">
        <v>88516.54632</v>
      </c>
      <c r="I92" s="43">
        <v>9999.79031</v>
      </c>
      <c r="J92" s="43">
        <v>5739.7355</v>
      </c>
      <c r="K92" s="43">
        <v>5962.52063</v>
      </c>
      <c r="L92" s="43">
        <v>7227.2464</v>
      </c>
      <c r="M92" s="43"/>
      <c r="N92" s="43"/>
      <c r="O92" s="43"/>
      <c r="P92" s="44">
        <f>SUM(C92:O92)</f>
        <v>147940.46005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1251997.04719</v>
      </c>
      <c r="D107" s="47">
        <f>SUM(D38:D106)</f>
        <v>32659.66924</v>
      </c>
      <c r="E107" s="47">
        <f>SUM(E38:E106)</f>
        <v>26639.9639</v>
      </c>
      <c r="F107" s="47">
        <f>SUM(F38:F106)</f>
        <v>12417.06106</v>
      </c>
      <c r="G107" s="47">
        <f>SUM(G38:G106)</f>
        <v>11821.31217</v>
      </c>
      <c r="H107" s="47">
        <f>SUM(H38:H106)</f>
        <v>10836.73026</v>
      </c>
      <c r="I107" s="47">
        <f>SUM(I38:I106)</f>
        <v>32404.21592</v>
      </c>
      <c r="J107" s="47">
        <f>SUM(J38:J106)</f>
        <v>10690.51494</v>
      </c>
      <c r="K107" s="47">
        <f>SUM(K38:K106)</f>
        <v>12271.36922</v>
      </c>
      <c r="L107" s="47">
        <f>SUM(L38:L106)</f>
        <v>51469.63973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1453207.52363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-264518.72127</v>
      </c>
      <c r="D109" s="49">
        <f>D36-D107</f>
        <v>-22387.66924</v>
      </c>
      <c r="E109" s="49">
        <f>E36-E107</f>
        <v>-13991.9639</v>
      </c>
      <c r="F109" s="49">
        <f>F36-F107</f>
        <v>3605.93894</v>
      </c>
      <c r="G109" s="49">
        <f>G36-G107</f>
        <v>-4804.31217</v>
      </c>
      <c r="H109" s="49">
        <f>H36-H107</f>
        <v>-5117.73026</v>
      </c>
      <c r="I109" s="49">
        <f>I36-I107</f>
        <v>-31576.21592</v>
      </c>
      <c r="J109" s="49">
        <f>J36-J107</f>
        <v>1385.48506</v>
      </c>
      <c r="K109" s="49">
        <f>K36-K107</f>
        <v>-1256.36922</v>
      </c>
      <c r="L109" s="49">
        <f>L36-L107</f>
        <v>-34420.63973</v>
      </c>
      <c r="M109" s="49"/>
      <c r="N109" s="49"/>
      <c r="O109" s="49"/>
      <c r="P109" s="50">
        <f>P36-P107</f>
        <v>-373082.19771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-5431.25218834</v>
      </c>
      <c r="D118" s="45">
        <v>56.05271527</v>
      </c>
      <c r="E118" s="45">
        <v>116.48594587</v>
      </c>
      <c r="F118" s="45">
        <v>146.76801195</v>
      </c>
      <c r="G118" s="45">
        <v>198.12593364</v>
      </c>
      <c r="H118" s="45">
        <v>244.64988303</v>
      </c>
      <c r="I118" s="45">
        <v>303.25265596</v>
      </c>
      <c r="J118" s="45">
        <v>402.58436944</v>
      </c>
      <c r="K118" s="45">
        <v>453.62268691</v>
      </c>
      <c r="L118" s="45">
        <v>534.52168325</v>
      </c>
      <c r="M118" s="45"/>
      <c r="N118" s="45"/>
      <c r="O118" s="45"/>
      <c r="P118" s="46">
        <f>SUM(C118:O118)</f>
        <v>-2975.18830302</v>
      </c>
    </row>
    <row r="119" spans="1:16" customHeight="1" ht="12.75">
      <c r="A119" s="20">
        <v>4.3</v>
      </c>
      <c r="B119" s="15" t="s">
        <v>210</v>
      </c>
      <c r="C119" s="47">
        <f>SUM(C111:C118)</f>
        <v>-5431.25218834</v>
      </c>
      <c r="D119" s="47">
        <f>SUM(D111:D118)</f>
        <v>56.05271527</v>
      </c>
      <c r="E119" s="47">
        <f>SUM(E111:E118)</f>
        <v>116.48594587</v>
      </c>
      <c r="F119" s="47">
        <f>SUM(F111:F118)</f>
        <v>146.76801195</v>
      </c>
      <c r="G119" s="47">
        <f>SUM(G111:G118)</f>
        <v>198.12593364</v>
      </c>
      <c r="H119" s="47">
        <f>SUM(H111:H118)</f>
        <v>244.64988303</v>
      </c>
      <c r="I119" s="47">
        <f>SUM(I111:I118)</f>
        <v>303.25265596</v>
      </c>
      <c r="J119" s="47">
        <f>SUM(J111:J118)</f>
        <v>402.58436944</v>
      </c>
      <c r="K119" s="47">
        <f>SUM(K111:K118)</f>
        <v>453.62268691</v>
      </c>
      <c r="L119" s="47">
        <f>SUM(L111:L118)</f>
        <v>534.52168325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-2975.18830302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-259087.46908166</v>
      </c>
      <c r="D121" s="49">
        <f>D109-D119</f>
        <v>-22443.72195527</v>
      </c>
      <c r="E121" s="49">
        <f>E109-E119</f>
        <v>-14108.44984587</v>
      </c>
      <c r="F121" s="49">
        <f>F109-F119</f>
        <v>3459.17092805</v>
      </c>
      <c r="G121" s="49">
        <f>G109-G119</f>
        <v>-5002.43810364</v>
      </c>
      <c r="H121" s="49">
        <f>H109-H119</f>
        <v>-5362.38014303</v>
      </c>
      <c r="I121" s="49">
        <f>I109-I119</f>
        <v>-31879.46857596</v>
      </c>
      <c r="J121" s="49">
        <f>J109-J119</f>
        <v>982.90069056</v>
      </c>
      <c r="K121" s="49">
        <f>K109-K119</f>
        <v>-1709.99190691</v>
      </c>
      <c r="L121" s="49">
        <f>L109-L119</f>
        <v>-34955.16141325</v>
      </c>
      <c r="M121" s="49"/>
      <c r="N121" s="49"/>
      <c r="O121" s="49"/>
      <c r="P121" s="50">
        <f>P109-P119</f>
        <v>-370107.00940698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29563.4374776</v>
      </c>
      <c r="D125" s="43">
        <f>(D36-D18-D20-D33)*D124</f>
        <v>308.16</v>
      </c>
      <c r="E125" s="43">
        <f>(E36-E18-E20-E33)*E124</f>
        <v>379.44</v>
      </c>
      <c r="F125" s="43">
        <f>(F36-F18-F20-F33)*F124</f>
        <v>480.69</v>
      </c>
      <c r="G125" s="43">
        <f>(G36-G18-G20-G33)*G124</f>
        <v>421.02</v>
      </c>
      <c r="H125" s="43">
        <f>(H36-H18-H20-H33)*H124</f>
        <v>343.14</v>
      </c>
      <c r="I125" s="43">
        <f>(I36-I18-I20-I33)*I124</f>
        <v>49.68</v>
      </c>
      <c r="J125" s="43">
        <f>(J36-J18-J20-J33)*J124</f>
        <v>724.56</v>
      </c>
      <c r="K125" s="43">
        <f>(K36-K18-K20-K33)*K124</f>
        <v>620.34</v>
      </c>
      <c r="L125" s="43">
        <f>(L36-L18-L20-L33)*L124</f>
        <v>1022.94</v>
      </c>
      <c r="M125" s="43"/>
      <c r="N125" s="43"/>
      <c r="O125" s="43"/>
      <c r="P125" s="44">
        <f>SUM(C125:O125)</f>
        <v>33913.4074776</v>
      </c>
    </row>
    <row r="126" spans="1:16" customHeight="1" ht="12.75">
      <c r="A126" s="18" t="s">
        <v>216</v>
      </c>
      <c r="B126" s="4" t="s">
        <v>217</v>
      </c>
      <c r="C126" s="43">
        <f>(C36-C18-C20-C33)*0.006000</f>
        <v>5912.68749552</v>
      </c>
      <c r="D126" s="43">
        <f>(D36-D18-D20-D33)*0.006000</f>
        <v>61.632</v>
      </c>
      <c r="E126" s="43">
        <f>(E36-E18-E20-E33)*0.006000</f>
        <v>75.888</v>
      </c>
      <c r="F126" s="43">
        <f>(F36-F18-F20-F33)*0.006000</f>
        <v>96.138</v>
      </c>
      <c r="G126" s="43">
        <f>(G36-G18-G20-G33)*0.006000</f>
        <v>42.102</v>
      </c>
      <c r="H126" s="43">
        <f>(H36-H18-H20-H33)*0.006000</f>
        <v>34.314</v>
      </c>
      <c r="I126" s="43">
        <f>(I36-I18-I20-I33)*0.006000</f>
        <v>4.968</v>
      </c>
      <c r="J126" s="43">
        <f>(J36-J18-J20-J33)*0.006000</f>
        <v>72.456</v>
      </c>
      <c r="K126" s="43">
        <f>(K36-K18-K20-K33)*0.006000</f>
        <v>62.034</v>
      </c>
      <c r="L126" s="43">
        <f>(L36-L18-L20-L33)*0.006000</f>
        <v>102.294</v>
      </c>
      <c r="M126" s="43"/>
      <c r="N126" s="43"/>
      <c r="O126" s="43"/>
      <c r="P126" s="44">
        <f>(P36-P18-P20-P33)*0.006000</f>
        <v>6464.51349552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-294563.59405478</v>
      </c>
      <c r="D129" s="51">
        <f>D121-SUM(D125:D126)+IF(ISBLANK(D127), 0, D127)</f>
        <v>-22813.51395527</v>
      </c>
      <c r="E129" s="51">
        <f>E121-SUM(E125:E126)+IF(ISBLANK(E127), 0, E127)</f>
        <v>-14563.77784587</v>
      </c>
      <c r="F129" s="51">
        <f>F121-SUM(F125:F126)+IF(ISBLANK(F127), 0, F127)</f>
        <v>2882.34292805</v>
      </c>
      <c r="G129" s="51">
        <f>G121-SUM(G125:G126)+IF(ISBLANK(G127), 0, G127)</f>
        <v>-5465.56010364</v>
      </c>
      <c r="H129" s="51">
        <f>H121-SUM(H125:H126)+IF(ISBLANK(H127), 0, H127)</f>
        <v>-5739.83414303</v>
      </c>
      <c r="I129" s="51">
        <f>I121-SUM(I125:I126)+IF(ISBLANK(I127), 0, I127)</f>
        <v>-31934.11657596</v>
      </c>
      <c r="J129" s="51">
        <f>J121-SUM(J125:J126)+IF(ISBLANK(J127), 0, J127)</f>
        <v>185.88469056</v>
      </c>
      <c r="K129" s="51">
        <f>K121-SUM(K125:K126)+IF(ISBLANK(K127), 0, K127)</f>
        <v>-2392.36590691</v>
      </c>
      <c r="L129" s="51">
        <f>L121-SUM(L125:L126)+IF(ISBLANK(L127), 0, L127)</f>
        <v>-36080.39541325</v>
      </c>
      <c r="M129" s="51"/>
      <c r="N129" s="51"/>
      <c r="O129" s="51"/>
      <c r="P129" s="52">
        <f>P121-SUM(P125:P126)+IF(ISBLANK(P127), 0, P127)</f>
        <v>-410484.9303801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997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236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985390.5694</v>
      </c>
      <c r="D14" s="43">
        <v>10272</v>
      </c>
      <c r="E14" s="43">
        <v>12648</v>
      </c>
      <c r="F14" s="43">
        <v>16023</v>
      </c>
      <c r="G14" s="43">
        <v>7017</v>
      </c>
      <c r="H14" s="43">
        <v>5719</v>
      </c>
      <c r="I14" s="43">
        <v>828</v>
      </c>
      <c r="J14" s="43">
        <v>12076</v>
      </c>
      <c r="K14" s="43">
        <v>11015</v>
      </c>
      <c r="L14" s="43">
        <v>17049</v>
      </c>
      <c r="M14" s="43"/>
      <c r="N14" s="43"/>
      <c r="O14" s="43"/>
      <c r="P14" s="44">
        <f>SUM(C14:O14)</f>
        <v>1078037.5694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2030.34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2030.34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57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57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0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0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987477.9094</v>
      </c>
      <c r="D36" s="47">
        <f>SUM(D13:D35)</f>
        <v>10272</v>
      </c>
      <c r="E36" s="47">
        <f>SUM(E13:E35)</f>
        <v>12648</v>
      </c>
      <c r="F36" s="47">
        <f>SUM(F13:F35)</f>
        <v>16023</v>
      </c>
      <c r="G36" s="47">
        <f>SUM(G13:G35)</f>
        <v>7017</v>
      </c>
      <c r="H36" s="47">
        <f>SUM(H13:H35)</f>
        <v>5719</v>
      </c>
      <c r="I36" s="47">
        <f>SUM(I13:I35)</f>
        <v>828</v>
      </c>
      <c r="J36" s="47">
        <f>SUM(J13:J35)</f>
        <v>12076</v>
      </c>
      <c r="K36" s="47">
        <f>SUM(K13:K35)</f>
        <v>11015</v>
      </c>
      <c r="L36" s="47">
        <f>SUM(L13:L35)</f>
        <v>17049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1080124.9094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85439.95066</v>
      </c>
      <c r="D40" s="43">
        <v>1532.99</v>
      </c>
      <c r="E40" s="43">
        <v>1943.64</v>
      </c>
      <c r="F40" s="43">
        <v>1491.28</v>
      </c>
      <c r="G40" s="43">
        <v>1207.6</v>
      </c>
      <c r="H40" s="43">
        <v>1315.36</v>
      </c>
      <c r="I40" s="43">
        <v>1311.06</v>
      </c>
      <c r="J40" s="43">
        <v>1234.6007</v>
      </c>
      <c r="K40" s="43">
        <v>1065.6485</v>
      </c>
      <c r="L40" s="43">
        <v>1131.3624</v>
      </c>
      <c r="M40" s="43"/>
      <c r="N40" s="43"/>
      <c r="O40" s="43"/>
      <c r="P40" s="44">
        <f>SUM(C40:O40)</f>
        <v>97673.49226</v>
      </c>
    </row>
    <row r="41" spans="1:16" customHeight="1" ht="12.75">
      <c r="A41" s="18" t="s">
        <v>83</v>
      </c>
      <c r="B41" s="4" t="s">
        <v>84</v>
      </c>
      <c r="C41" s="43">
        <v>292.99</v>
      </c>
      <c r="D41" s="43">
        <v>-28.94</v>
      </c>
      <c r="E41" s="43">
        <v>49.06</v>
      </c>
      <c r="F41" s="43">
        <v>58.86</v>
      </c>
      <c r="G41" s="43">
        <v>69.4</v>
      </c>
      <c r="H41" s="43">
        <v>474.79945</v>
      </c>
      <c r="I41" s="43">
        <v>315.22118</v>
      </c>
      <c r="J41" s="43">
        <v>92.5101</v>
      </c>
      <c r="K41" s="43">
        <v>101.55161</v>
      </c>
      <c r="L41" s="43">
        <v>1113.19014</v>
      </c>
      <c r="M41" s="43"/>
      <c r="N41" s="43"/>
      <c r="O41" s="43"/>
      <c r="P41" s="44">
        <f>SUM(C41:O41)</f>
        <v>2538.64248</v>
      </c>
    </row>
    <row r="42" spans="1:16" customHeight="1" ht="12.75">
      <c r="A42" s="18" t="s">
        <v>85</v>
      </c>
      <c r="B42" s="4" t="s">
        <v>86</v>
      </c>
      <c r="C42" s="43">
        <v>1380.79751</v>
      </c>
      <c r="D42" s="43">
        <v>-54.58</v>
      </c>
      <c r="E42" s="43">
        <v>12.98</v>
      </c>
      <c r="F42" s="43">
        <v>26.67</v>
      </c>
      <c r="G42" s="43">
        <v>14.3</v>
      </c>
      <c r="H42" s="43">
        <v>69.05</v>
      </c>
      <c r="I42" s="43">
        <v>80.74</v>
      </c>
      <c r="J42" s="43">
        <v>53.499</v>
      </c>
      <c r="K42" s="43">
        <v>72.25555</v>
      </c>
      <c r="L42" s="43">
        <v>72.45</v>
      </c>
      <c r="M42" s="43"/>
      <c r="N42" s="43"/>
      <c r="O42" s="43"/>
      <c r="P42" s="44">
        <f>SUM(C42:O42)</f>
        <v>1728.16206</v>
      </c>
    </row>
    <row r="43" spans="1:16" customHeight="1" ht="12.75">
      <c r="A43" s="18" t="s">
        <v>87</v>
      </c>
      <c r="B43" s="4" t="s">
        <v>88</v>
      </c>
      <c r="C43" s="43">
        <v>108135.70402</v>
      </c>
      <c r="D43" s="43">
        <v>4137.0236</v>
      </c>
      <c r="E43" s="43">
        <v>511.59352</v>
      </c>
      <c r="F43" s="43">
        <v>436.86613</v>
      </c>
      <c r="G43" s="43">
        <v>1030.0734</v>
      </c>
      <c r="H43" s="43">
        <v>-82672.65517</v>
      </c>
      <c r="I43" s="43">
        <v>-3987.45235</v>
      </c>
      <c r="J43" s="43">
        <v>388.0125</v>
      </c>
      <c r="K43" s="43">
        <v>246.7586</v>
      </c>
      <c r="L43" s="43">
        <v>339.35357</v>
      </c>
      <c r="M43" s="43"/>
      <c r="N43" s="43"/>
      <c r="O43" s="43"/>
      <c r="P43" s="44">
        <f>SUM(C43:O43)</f>
        <v>28565.27782</v>
      </c>
    </row>
    <row r="44" spans="1:16" customHeight="1" ht="12.75">
      <c r="A44" s="18" t="s">
        <v>89</v>
      </c>
      <c r="B44" s="4" t="s">
        <v>90</v>
      </c>
      <c r="C44" s="43">
        <v>15986.70285</v>
      </c>
      <c r="D44" s="43">
        <v>200.1065</v>
      </c>
      <c r="E44" s="43">
        <v>1283.4614</v>
      </c>
      <c r="F44" s="43">
        <v>121.338</v>
      </c>
      <c r="G44" s="43">
        <v>58.697</v>
      </c>
      <c r="H44" s="43">
        <v>83.2982</v>
      </c>
      <c r="I44" s="43">
        <v>-539.617</v>
      </c>
      <c r="J44" s="43">
        <v>47.72</v>
      </c>
      <c r="K44" s="43">
        <v>71.789</v>
      </c>
      <c r="L44" s="43">
        <v>69.631</v>
      </c>
      <c r="M44" s="43"/>
      <c r="N44" s="43"/>
      <c r="O44" s="43"/>
      <c r="P44" s="44">
        <f>SUM(C44:O44)</f>
        <v>17383.12695</v>
      </c>
    </row>
    <row r="45" spans="1:16" customHeight="1" ht="12.75">
      <c r="A45" s="18" t="s">
        <v>91</v>
      </c>
      <c r="B45" s="4" t="s">
        <v>92</v>
      </c>
      <c r="C45" s="43">
        <v>65992.23974</v>
      </c>
      <c r="D45" s="43">
        <v>2867.86679</v>
      </c>
      <c r="E45" s="43">
        <v>1319.22549</v>
      </c>
      <c r="F45" s="43">
        <v>1714.30409</v>
      </c>
      <c r="G45" s="43">
        <v>1208.52508</v>
      </c>
      <c r="H45" s="43">
        <v>890.27453</v>
      </c>
      <c r="I45" s="43">
        <v>449.582</v>
      </c>
      <c r="J45" s="43">
        <v>3151.24672</v>
      </c>
      <c r="K45" s="43">
        <v>1237.14981</v>
      </c>
      <c r="L45" s="43">
        <v>497.73092</v>
      </c>
      <c r="M45" s="43"/>
      <c r="N45" s="43"/>
      <c r="O45" s="43"/>
      <c r="P45" s="44">
        <f>SUM(C45:O45)</f>
        <v>79328.14517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442.7129</v>
      </c>
      <c r="D47" s="43">
        <v>1.024</v>
      </c>
      <c r="E47" s="43">
        <v>6.877</v>
      </c>
      <c r="F47" s="43">
        <v>5.823</v>
      </c>
      <c r="G47" s="43">
        <v>14.339</v>
      </c>
      <c r="H47" s="43">
        <v>8.525</v>
      </c>
      <c r="I47" s="43">
        <v>0.192</v>
      </c>
      <c r="J47" s="43">
        <v>6.214</v>
      </c>
      <c r="K47" s="43">
        <v>4.267</v>
      </c>
      <c r="L47" s="43">
        <v>0</v>
      </c>
      <c r="M47" s="43"/>
      <c r="N47" s="43"/>
      <c r="O47" s="43"/>
      <c r="P47" s="44">
        <f>SUM(C47:O47)</f>
        <v>489.9739</v>
      </c>
    </row>
    <row r="48" spans="1:16" customHeight="1" ht="12.75">
      <c r="A48" s="18" t="s">
        <v>97</v>
      </c>
      <c r="B48" s="4" t="s">
        <v>98</v>
      </c>
      <c r="C48" s="43">
        <v>29281.91927</v>
      </c>
      <c r="D48" s="43">
        <v>1476.38604</v>
      </c>
      <c r="E48" s="43">
        <v>1372.7404</v>
      </c>
      <c r="F48" s="43">
        <v>105.69816</v>
      </c>
      <c r="G48" s="43">
        <v>1253</v>
      </c>
      <c r="H48" s="43">
        <v>193.425</v>
      </c>
      <c r="I48" s="43">
        <v>0</v>
      </c>
      <c r="J48" s="43">
        <v>1879.1227</v>
      </c>
      <c r="K48" s="43">
        <v>1.5</v>
      </c>
      <c r="L48" s="43">
        <v>0</v>
      </c>
      <c r="M48" s="43"/>
      <c r="N48" s="43"/>
      <c r="O48" s="43"/>
      <c r="P48" s="44">
        <f>SUM(C48:O48)</f>
        <v>35563.79157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11199.87149</v>
      </c>
      <c r="D50" s="43">
        <v>771.9981</v>
      </c>
      <c r="E50" s="43">
        <v>87.982</v>
      </c>
      <c r="F50" s="43">
        <v>888.91524</v>
      </c>
      <c r="G50" s="43">
        <v>153.0234</v>
      </c>
      <c r="H50" s="43">
        <v>289.76915</v>
      </c>
      <c r="I50" s="43">
        <v>112.1556</v>
      </c>
      <c r="J50" s="43">
        <v>296.0036</v>
      </c>
      <c r="K50" s="43">
        <v>137.893</v>
      </c>
      <c r="L50" s="43">
        <v>84.887</v>
      </c>
      <c r="M50" s="43"/>
      <c r="N50" s="43"/>
      <c r="O50" s="43"/>
      <c r="P50" s="44">
        <f>SUM(C50:O50)</f>
        <v>14022.49858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10469.815</v>
      </c>
      <c r="D54" s="43">
        <v>1134.824</v>
      </c>
      <c r="E54" s="43">
        <v>117.655</v>
      </c>
      <c r="F54" s="43">
        <v>115.4615</v>
      </c>
      <c r="G54" s="43">
        <v>327.1165</v>
      </c>
      <c r="H54" s="43">
        <v>214.3385</v>
      </c>
      <c r="I54" s="43">
        <v>0</v>
      </c>
      <c r="J54" s="43">
        <v>539.926</v>
      </c>
      <c r="K54" s="43">
        <v>172.816</v>
      </c>
      <c r="L54" s="43">
        <v>0</v>
      </c>
      <c r="M54" s="43"/>
      <c r="N54" s="43"/>
      <c r="O54" s="43"/>
      <c r="P54" s="44">
        <f>SUM(C54:O54)</f>
        <v>13091.9525</v>
      </c>
    </row>
    <row r="55" spans="1:16" customHeight="1" ht="12.75">
      <c r="A55" s="18" t="s">
        <v>110</v>
      </c>
      <c r="B55" s="4" t="s">
        <v>111</v>
      </c>
      <c r="C55" s="43">
        <v>7247.91099</v>
      </c>
      <c r="D55" s="43">
        <v>557.38282</v>
      </c>
      <c r="E55" s="43">
        <v>33.5444</v>
      </c>
      <c r="F55" s="43">
        <v>350.79459</v>
      </c>
      <c r="G55" s="43">
        <v>52.4958</v>
      </c>
      <c r="H55" s="43">
        <v>211.67673</v>
      </c>
      <c r="I55" s="43">
        <v>0</v>
      </c>
      <c r="J55" s="43">
        <v>537.7134</v>
      </c>
      <c r="K55" s="43">
        <v>406.58828</v>
      </c>
      <c r="L55" s="43">
        <v>0</v>
      </c>
      <c r="M55" s="43"/>
      <c r="N55" s="43"/>
      <c r="O55" s="43"/>
      <c r="P55" s="44">
        <f>SUM(C55:O55)</f>
        <v>9398.10701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13109.87396</v>
      </c>
      <c r="D57" s="43">
        <v>430.34919</v>
      </c>
      <c r="E57" s="43">
        <v>0</v>
      </c>
      <c r="F57" s="43">
        <v>11.9996</v>
      </c>
      <c r="G57" s="43">
        <v>240.33982</v>
      </c>
      <c r="H57" s="43">
        <v>4187.04</v>
      </c>
      <c r="I57" s="43">
        <v>0</v>
      </c>
      <c r="J57" s="43">
        <v>0</v>
      </c>
      <c r="K57" s="43">
        <v>0</v>
      </c>
      <c r="L57" s="43">
        <v>0</v>
      </c>
      <c r="M57" s="43"/>
      <c r="N57" s="43"/>
      <c r="O57" s="43"/>
      <c r="P57" s="44">
        <f>SUM(C57:O57)</f>
        <v>17979.60257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1228.72268</v>
      </c>
      <c r="D60" s="43">
        <v>74.3745</v>
      </c>
      <c r="E60" s="43">
        <v>0</v>
      </c>
      <c r="F60" s="43">
        <v>8</v>
      </c>
      <c r="G60" s="43">
        <v>8</v>
      </c>
      <c r="H60" s="43">
        <v>254.4</v>
      </c>
      <c r="I60" s="43">
        <v>0</v>
      </c>
      <c r="J60" s="43">
        <v>122.75</v>
      </c>
      <c r="K60" s="43">
        <v>0</v>
      </c>
      <c r="L60" s="43">
        <v>0</v>
      </c>
      <c r="M60" s="43"/>
      <c r="N60" s="43"/>
      <c r="O60" s="43"/>
      <c r="P60" s="44">
        <f>SUM(C60:O60)</f>
        <v>1696.24718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7020.23517</v>
      </c>
      <c r="D66" s="43">
        <v>2742.63571</v>
      </c>
      <c r="E66" s="43">
        <v>513.42815</v>
      </c>
      <c r="F66" s="43">
        <v>83.6951</v>
      </c>
      <c r="G66" s="43">
        <v>81.83655</v>
      </c>
      <c r="H66" s="43">
        <v>261.70052</v>
      </c>
      <c r="I66" s="43">
        <v>0</v>
      </c>
      <c r="J66" s="43">
        <v>1064.67659</v>
      </c>
      <c r="K66" s="43">
        <v>247.9816</v>
      </c>
      <c r="L66" s="43">
        <v>0</v>
      </c>
      <c r="M66" s="43"/>
      <c r="N66" s="43"/>
      <c r="O66" s="43"/>
      <c r="P66" s="44">
        <f>SUM(C66:O66)</f>
        <v>12016.18939</v>
      </c>
    </row>
    <row r="67" spans="1:16" customHeight="1" ht="12.75">
      <c r="A67" s="18" t="s">
        <v>134</v>
      </c>
      <c r="B67" s="4" t="s">
        <v>135</v>
      </c>
      <c r="C67" s="43">
        <v>15087.65014</v>
      </c>
      <c r="D67" s="43">
        <v>1316.89347</v>
      </c>
      <c r="E67" s="43">
        <v>180</v>
      </c>
      <c r="F67" s="43">
        <v>-158.1155</v>
      </c>
      <c r="G67" s="43">
        <v>-325.34866</v>
      </c>
      <c r="H67" s="43">
        <v>-8826.53758</v>
      </c>
      <c r="I67" s="43">
        <v>0</v>
      </c>
      <c r="J67" s="43">
        <v>0</v>
      </c>
      <c r="K67" s="43">
        <v>-671.26545</v>
      </c>
      <c r="L67" s="43">
        <v>1146.82181</v>
      </c>
      <c r="M67" s="43"/>
      <c r="N67" s="43"/>
      <c r="O67" s="43"/>
      <c r="P67" s="44">
        <f>SUM(C67:O67)</f>
        <v>7750.09823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1562.772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0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1562.772</v>
      </c>
    </row>
    <row r="74" spans="1:16" customHeight="1" ht="12.75">
      <c r="A74" s="18" t="s">
        <v>147</v>
      </c>
      <c r="B74" s="4" t="s">
        <v>148</v>
      </c>
      <c r="C74" s="43">
        <v>49254.62943</v>
      </c>
      <c r="D74" s="43">
        <v>12758.88883</v>
      </c>
      <c r="E74" s="43">
        <v>2207.0817</v>
      </c>
      <c r="F74" s="43">
        <v>2955.44323</v>
      </c>
      <c r="G74" s="43">
        <v>2144.314</v>
      </c>
      <c r="H74" s="43">
        <v>1440.80333</v>
      </c>
      <c r="I74" s="43">
        <v>0</v>
      </c>
      <c r="J74" s="43">
        <v>4060.10253</v>
      </c>
      <c r="K74" s="43">
        <v>1382.939</v>
      </c>
      <c r="L74" s="43">
        <v>0</v>
      </c>
      <c r="M74" s="43"/>
      <c r="N74" s="43"/>
      <c r="O74" s="43"/>
      <c r="P74" s="44">
        <f>SUM(C74:O74)</f>
        <v>76204.20205</v>
      </c>
    </row>
    <row r="75" spans="1:16" customHeight="1" ht="12.75">
      <c r="A75" s="18" t="s">
        <v>149</v>
      </c>
      <c r="B75" s="4" t="s">
        <v>150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0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499487.5287</v>
      </c>
      <c r="D83" s="43">
        <v>18661.5642</v>
      </c>
      <c r="E83" s="43">
        <v>256.3134</v>
      </c>
      <c r="F83" s="43">
        <v>5062.3572</v>
      </c>
      <c r="G83" s="43">
        <v>3938.11</v>
      </c>
      <c r="H83" s="43">
        <v>6040.5661</v>
      </c>
      <c r="I83" s="43">
        <v>0</v>
      </c>
      <c r="J83" s="43">
        <v>17148.9795</v>
      </c>
      <c r="K83" s="43">
        <v>5942.78709</v>
      </c>
      <c r="L83" s="43">
        <v>0</v>
      </c>
      <c r="M83" s="43"/>
      <c r="N83" s="43"/>
      <c r="O83" s="43"/>
      <c r="P83" s="44">
        <f>SUM(C83:O83)</f>
        <v>556538.20619</v>
      </c>
    </row>
    <row r="84" spans="1:16" customHeight="1" ht="12.75">
      <c r="A84" s="18" t="s">
        <v>166</v>
      </c>
      <c r="B84" s="4" t="s">
        <v>167</v>
      </c>
      <c r="C84" s="43">
        <v>36157.61417</v>
      </c>
      <c r="D84" s="43">
        <v>11228.04091</v>
      </c>
      <c r="E84" s="43">
        <v>607.43356</v>
      </c>
      <c r="F84" s="43">
        <v>5043.68757</v>
      </c>
      <c r="G84" s="43">
        <v>215.6</v>
      </c>
      <c r="H84" s="43">
        <v>1518.17519</v>
      </c>
      <c r="I84" s="43">
        <v>0</v>
      </c>
      <c r="J84" s="43">
        <v>3225.25582</v>
      </c>
      <c r="K84" s="43">
        <v>1255.14</v>
      </c>
      <c r="L84" s="43">
        <v>0</v>
      </c>
      <c r="M84" s="43"/>
      <c r="N84" s="43"/>
      <c r="O84" s="43"/>
      <c r="P84" s="44">
        <f>SUM(C84:O84)</f>
        <v>59250.94722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125515.7461</v>
      </c>
      <c r="D86" s="43">
        <v>3920.6548</v>
      </c>
      <c r="E86" s="43">
        <v>1143.38165</v>
      </c>
      <c r="F86" s="43">
        <v>1555.6685</v>
      </c>
      <c r="G86" s="43">
        <v>227.382</v>
      </c>
      <c r="H86" s="43">
        <v>5699.34025</v>
      </c>
      <c r="I86" s="43">
        <v>116.885</v>
      </c>
      <c r="J86" s="43">
        <v>50.22057</v>
      </c>
      <c r="K86" s="43">
        <v>1033.41634</v>
      </c>
      <c r="L86" s="43">
        <v>0</v>
      </c>
      <c r="M86" s="43"/>
      <c r="N86" s="43"/>
      <c r="O86" s="43"/>
      <c r="P86" s="44">
        <f>SUM(C86:O86)</f>
        <v>139262.69521</v>
      </c>
    </row>
    <row r="87" spans="1:16" customHeight="1" ht="12.75">
      <c r="A87" s="18" t="s">
        <v>172</v>
      </c>
      <c r="B87" s="4" t="s">
        <v>173</v>
      </c>
      <c r="C87" s="43">
        <v>0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0</v>
      </c>
    </row>
    <row r="88" spans="1:16" customHeight="1" ht="12.75">
      <c r="A88" s="18" t="s">
        <v>174</v>
      </c>
      <c r="B88" s="4" t="s">
        <v>175</v>
      </c>
      <c r="C88" s="43">
        <v>0</v>
      </c>
      <c r="D88" s="43">
        <v>0</v>
      </c>
      <c r="E88" s="43">
        <v>0</v>
      </c>
      <c r="F88" s="43">
        <v>0</v>
      </c>
      <c r="G88" s="43">
        <v>0</v>
      </c>
      <c r="H88" s="43">
        <v>0</v>
      </c>
      <c r="I88" s="43">
        <v>0</v>
      </c>
      <c r="J88" s="43">
        <v>0</v>
      </c>
      <c r="K88" s="43">
        <v>0</v>
      </c>
      <c r="L88" s="43">
        <v>0</v>
      </c>
      <c r="M88" s="43"/>
      <c r="N88" s="43"/>
      <c r="O88" s="43"/>
      <c r="P88" s="44">
        <f>SUM(C88:O88)</f>
        <v>0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-21693.81482</v>
      </c>
      <c r="D90" s="43">
        <v>-1407.1728</v>
      </c>
      <c r="E90" s="43">
        <v>0</v>
      </c>
      <c r="F90" s="43">
        <v>0</v>
      </c>
      <c r="G90" s="43">
        <v>-269.61</v>
      </c>
      <c r="H90" s="43">
        <v>0</v>
      </c>
      <c r="I90" s="43">
        <v>0</v>
      </c>
      <c r="J90" s="43">
        <v>-341.35145</v>
      </c>
      <c r="K90" s="43">
        <v>0</v>
      </c>
      <c r="L90" s="43">
        <v>0</v>
      </c>
      <c r="M90" s="43"/>
      <c r="N90" s="43"/>
      <c r="O90" s="43"/>
      <c r="P90" s="44">
        <f>SUM(C90:O90)</f>
        <v>-23711.94907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6799.77896</v>
      </c>
      <c r="D92" s="43">
        <v>8137.62869</v>
      </c>
      <c r="E92" s="43">
        <v>5527.9478</v>
      </c>
      <c r="F92" s="43">
        <v>4887.97384</v>
      </c>
      <c r="G92" s="43">
        <v>5141.2916</v>
      </c>
      <c r="H92" s="43">
        <v>88516.54632</v>
      </c>
      <c r="I92" s="43">
        <v>9999.79031</v>
      </c>
      <c r="J92" s="43">
        <v>5739.7355</v>
      </c>
      <c r="K92" s="43">
        <v>5962.52063</v>
      </c>
      <c r="L92" s="43">
        <v>7227.2464</v>
      </c>
      <c r="M92" s="43"/>
      <c r="N92" s="43"/>
      <c r="O92" s="43"/>
      <c r="P92" s="44">
        <f>SUM(C92:O92)</f>
        <v>147940.46005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1069401.35092</v>
      </c>
      <c r="D107" s="47">
        <f>SUM(D38:D106)</f>
        <v>70459.93935</v>
      </c>
      <c r="E107" s="47">
        <f>SUM(E38:E106)</f>
        <v>17174.34547</v>
      </c>
      <c r="F107" s="47">
        <f>SUM(F38:F106)</f>
        <v>24766.72025</v>
      </c>
      <c r="G107" s="47">
        <f>SUM(G38:G106)</f>
        <v>16790.48549</v>
      </c>
      <c r="H107" s="47">
        <f>SUM(H38:H106)</f>
        <v>20169.89552</v>
      </c>
      <c r="I107" s="47">
        <f>SUM(I38:I106)</f>
        <v>7858.55674</v>
      </c>
      <c r="J107" s="47">
        <f>SUM(J38:J106)</f>
        <v>39296.93778</v>
      </c>
      <c r="K107" s="47">
        <f>SUM(K38:K106)</f>
        <v>18671.73656</v>
      </c>
      <c r="L107" s="47">
        <f>SUM(L38:L106)</f>
        <v>11682.67324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1296272.64132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-81923.44152</v>
      </c>
      <c r="D109" s="49">
        <f>D36-D107</f>
        <v>-60187.93935</v>
      </c>
      <c r="E109" s="49">
        <f>E36-E107</f>
        <v>-4526.34547</v>
      </c>
      <c r="F109" s="49">
        <f>F36-F107</f>
        <v>-8743.72025</v>
      </c>
      <c r="G109" s="49">
        <f>G36-G107</f>
        <v>-9773.48549</v>
      </c>
      <c r="H109" s="49">
        <f>H36-H107</f>
        <v>-14450.89552</v>
      </c>
      <c r="I109" s="49">
        <f>I36-I107</f>
        <v>-7030.55674</v>
      </c>
      <c r="J109" s="49">
        <f>J36-J107</f>
        <v>-27220.93778</v>
      </c>
      <c r="K109" s="49">
        <f>K36-K107</f>
        <v>-7656.73656</v>
      </c>
      <c r="L109" s="49">
        <f>L36-L107</f>
        <v>5366.32676</v>
      </c>
      <c r="M109" s="49"/>
      <c r="N109" s="49"/>
      <c r="O109" s="49"/>
      <c r="P109" s="50">
        <f>P36-P107</f>
        <v>-216147.73192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-5431.25218833</v>
      </c>
      <c r="D118" s="45">
        <v>56.05271527</v>
      </c>
      <c r="E118" s="45">
        <v>116.48594587</v>
      </c>
      <c r="F118" s="45">
        <v>146.76801195</v>
      </c>
      <c r="G118" s="45">
        <v>198.12593364</v>
      </c>
      <c r="H118" s="45">
        <v>244.64988303</v>
      </c>
      <c r="I118" s="45">
        <v>303.25265596</v>
      </c>
      <c r="J118" s="45">
        <v>402.58436944</v>
      </c>
      <c r="K118" s="45">
        <v>453.62268691</v>
      </c>
      <c r="L118" s="45">
        <v>534.52168325</v>
      </c>
      <c r="M118" s="45"/>
      <c r="N118" s="45"/>
      <c r="O118" s="45"/>
      <c r="P118" s="46">
        <f>SUM(C118:O118)</f>
        <v>-2975.18830301</v>
      </c>
    </row>
    <row r="119" spans="1:16" customHeight="1" ht="12.75">
      <c r="A119" s="20">
        <v>4.3</v>
      </c>
      <c r="B119" s="15" t="s">
        <v>210</v>
      </c>
      <c r="C119" s="47">
        <f>SUM(C111:C118)</f>
        <v>-5431.25218833</v>
      </c>
      <c r="D119" s="47">
        <f>SUM(D111:D118)</f>
        <v>56.05271527</v>
      </c>
      <c r="E119" s="47">
        <f>SUM(E111:E118)</f>
        <v>116.48594587</v>
      </c>
      <c r="F119" s="47">
        <f>SUM(F111:F118)</f>
        <v>146.76801195</v>
      </c>
      <c r="G119" s="47">
        <f>SUM(G111:G118)</f>
        <v>198.12593364</v>
      </c>
      <c r="H119" s="47">
        <f>SUM(H111:H118)</f>
        <v>244.64988303</v>
      </c>
      <c r="I119" s="47">
        <f>SUM(I111:I118)</f>
        <v>303.25265596</v>
      </c>
      <c r="J119" s="47">
        <f>SUM(J111:J118)</f>
        <v>402.58436944</v>
      </c>
      <c r="K119" s="47">
        <f>SUM(K111:K118)</f>
        <v>453.62268691</v>
      </c>
      <c r="L119" s="47">
        <f>SUM(L111:L118)</f>
        <v>534.52168325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-2975.18830301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-76492.18933167</v>
      </c>
      <c r="D121" s="49">
        <f>D109-D119</f>
        <v>-60243.99206527</v>
      </c>
      <c r="E121" s="49">
        <f>E109-E119</f>
        <v>-4642.83141587</v>
      </c>
      <c r="F121" s="49">
        <f>F109-F119</f>
        <v>-8890.48826195</v>
      </c>
      <c r="G121" s="49">
        <f>G109-G119</f>
        <v>-9971.61142364</v>
      </c>
      <c r="H121" s="49">
        <f>H109-H119</f>
        <v>-14695.54540303</v>
      </c>
      <c r="I121" s="49">
        <f>I109-I119</f>
        <v>-7333.80939596</v>
      </c>
      <c r="J121" s="49">
        <f>J109-J119</f>
        <v>-27623.52214944</v>
      </c>
      <c r="K121" s="49">
        <f>K109-K119</f>
        <v>-8110.35924691</v>
      </c>
      <c r="L121" s="49">
        <f>L109-L119</f>
        <v>4831.80507675</v>
      </c>
      <c r="M121" s="49"/>
      <c r="N121" s="49"/>
      <c r="O121" s="49"/>
      <c r="P121" s="50">
        <f>P109-P119</f>
        <v>-213172.54361699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29563.427082</v>
      </c>
      <c r="D125" s="43">
        <f>(D36-D18-D20-D33)*D124</f>
        <v>308.16</v>
      </c>
      <c r="E125" s="43">
        <f>(E36-E18-E20-E33)*E124</f>
        <v>379.44</v>
      </c>
      <c r="F125" s="43">
        <f>(F36-F18-F20-F33)*F124</f>
        <v>480.69</v>
      </c>
      <c r="G125" s="43">
        <f>(G36-G18-G20-G33)*G124</f>
        <v>421.02</v>
      </c>
      <c r="H125" s="43">
        <f>(H36-H18-H20-H33)*H124</f>
        <v>343.14</v>
      </c>
      <c r="I125" s="43">
        <f>(I36-I18-I20-I33)*I124</f>
        <v>49.68</v>
      </c>
      <c r="J125" s="43">
        <f>(J36-J18-J20-J33)*J124</f>
        <v>724.56</v>
      </c>
      <c r="K125" s="43">
        <f>(K36-K18-K20-K33)*K124</f>
        <v>660.9</v>
      </c>
      <c r="L125" s="43">
        <f>(L36-L18-L20-L33)*L124</f>
        <v>1022.94</v>
      </c>
      <c r="M125" s="43"/>
      <c r="N125" s="43"/>
      <c r="O125" s="43"/>
      <c r="P125" s="44">
        <f>SUM(C125:O125)</f>
        <v>33953.957082</v>
      </c>
    </row>
    <row r="126" spans="1:16" customHeight="1" ht="12.75">
      <c r="A126" s="18" t="s">
        <v>216</v>
      </c>
      <c r="B126" s="4" t="s">
        <v>217</v>
      </c>
      <c r="C126" s="43">
        <f>(C36-C18-C20-C33)*0.006000</f>
        <v>5912.6854164</v>
      </c>
      <c r="D126" s="43">
        <f>(D36-D18-D20-D33)*0.006000</f>
        <v>61.632</v>
      </c>
      <c r="E126" s="43">
        <f>(E36-E18-E20-E33)*0.006000</f>
        <v>75.888</v>
      </c>
      <c r="F126" s="43">
        <f>(F36-F18-F20-F33)*0.006000</f>
        <v>96.138</v>
      </c>
      <c r="G126" s="43">
        <f>(G36-G18-G20-G33)*0.006000</f>
        <v>42.102</v>
      </c>
      <c r="H126" s="43">
        <f>(H36-H18-H20-H33)*0.006000</f>
        <v>34.314</v>
      </c>
      <c r="I126" s="43">
        <f>(I36-I18-I20-I33)*0.006000</f>
        <v>4.968</v>
      </c>
      <c r="J126" s="43">
        <f>(J36-J18-J20-J33)*0.006000</f>
        <v>72.456</v>
      </c>
      <c r="K126" s="43">
        <f>(K36-K18-K20-K33)*0.006000</f>
        <v>66.09</v>
      </c>
      <c r="L126" s="43">
        <f>(L36-L18-L20-L33)*0.006000</f>
        <v>102.294</v>
      </c>
      <c r="M126" s="43"/>
      <c r="N126" s="43"/>
      <c r="O126" s="43"/>
      <c r="P126" s="44">
        <f>(P36-P18-P20-P33)*0.006000</f>
        <v>6468.5674164</v>
      </c>
    </row>
    <row r="127" spans="1:16" customHeight="1" ht="12.75">
      <c r="A127" s="18">
        <v>6.2</v>
      </c>
      <c r="B127" s="4" t="s">
        <v>218</v>
      </c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-111968.30183007</v>
      </c>
      <c r="D129" s="51">
        <f>D121-SUM(D125:D126)+IF(ISBLANK(D127), 0, D127)</f>
        <v>-60613.78406527</v>
      </c>
      <c r="E129" s="51">
        <f>E121-SUM(E125:E126)+IF(ISBLANK(E127), 0, E127)</f>
        <v>-5098.15941587</v>
      </c>
      <c r="F129" s="51">
        <f>F121-SUM(F125:F126)+IF(ISBLANK(F127), 0, F127)</f>
        <v>-9467.31626195</v>
      </c>
      <c r="G129" s="51">
        <f>G121-SUM(G125:G126)+IF(ISBLANK(G127), 0, G127)</f>
        <v>-10434.73342364</v>
      </c>
      <c r="H129" s="51">
        <f>H121-SUM(H125:H126)+IF(ISBLANK(H127), 0, H127)</f>
        <v>-15072.99940303</v>
      </c>
      <c r="I129" s="51">
        <f>I121-SUM(I125:I126)+IF(ISBLANK(I127), 0, I127)</f>
        <v>-7388.45739596</v>
      </c>
      <c r="J129" s="51">
        <f>J121-SUM(J125:J126)+IF(ISBLANK(J127), 0, J127)</f>
        <v>-28420.53814944</v>
      </c>
      <c r="K129" s="51">
        <f>K121-SUM(K125:K126)+IF(ISBLANK(K127), 0, K127)</f>
        <v>-8837.34924691</v>
      </c>
      <c r="L129" s="51">
        <f>L121-SUM(L125:L126)+IF(ISBLANK(L127), 0, L127)</f>
        <v>3706.57107675</v>
      </c>
      <c r="M129" s="51"/>
      <c r="N129" s="51"/>
      <c r="O129" s="51"/>
      <c r="P129" s="52">
        <f>P121-SUM(P125:P126)+IF(ISBLANK(P127), 0, P127)</f>
        <v>-253595.06811539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P130"/>
  <sheetViews>
    <sheetView tabSelected="0" workbookViewId="0" showGridLines="true" showRowColHeaders="1">
      <selection activeCell="P129" sqref="P129"/>
    </sheetView>
  </sheetViews>
  <sheetFormatPr customHeight="true" defaultRowHeight="12.75" defaultColWidth="14.28515625" outlineLevelRow="0" outlineLevelCol="0"/>
  <cols>
    <col min="1" max="1" width="19.42578125" customWidth="true" style="1"/>
    <col min="2" max="2" width="42.85546875" customWidth="true" style="1"/>
    <col min="3" max="3" width="14.28515625" style="1"/>
  </cols>
  <sheetData>
    <row r="1" spans="1:16" customHeight="1" ht="12.75">
      <c r="A1" s="2" t="s">
        <v>0</v>
      </c>
      <c r="B1" s="14"/>
      <c r="C1" s="2"/>
      <c r="G1"/>
      <c r="P1" s="59"/>
    </row>
    <row r="2" spans="1:16" customHeight="1" ht="12.75">
      <c r="A2" s="2"/>
      <c r="B2" s="14"/>
      <c r="C2" s="2"/>
      <c r="P2" s="61" t="s">
        <v>1</v>
      </c>
    </row>
    <row r="3" spans="1:16" customHeight="1" ht="12.75">
      <c r="A3" s="2" t="s">
        <v>2</v>
      </c>
      <c r="B3" s="14">
        <v>997</v>
      </c>
      <c r="C3" s="2"/>
      <c r="P3" s="59"/>
    </row>
    <row r="4" spans="1:16" customHeight="1" ht="12.75">
      <c r="A4" s="2" t="s">
        <v>3</v>
      </c>
      <c r="B4" s="14" t="s">
        <v>4</v>
      </c>
      <c r="C4" s="2"/>
      <c r="P4" s="59"/>
    </row>
    <row r="5" spans="1:16" customHeight="1" ht="12.75">
      <c r="A5" s="2" t="s">
        <v>5</v>
      </c>
      <c r="B5" s="14" t="s">
        <v>6</v>
      </c>
      <c r="C5" s="2"/>
      <c r="P5" s="59"/>
    </row>
    <row r="6" spans="1:16" customHeight="1" ht="12.75">
      <c r="A6" s="2" t="s">
        <v>7</v>
      </c>
      <c r="B6" s="14" t="s">
        <v>8</v>
      </c>
      <c r="C6" s="2"/>
      <c r="G6" s="74" t="s">
        <v>9</v>
      </c>
      <c r="H6" s="74"/>
      <c r="I6" s="74"/>
      <c r="P6" s="59"/>
    </row>
    <row r="7" spans="1:16" customHeight="1" ht="12.75">
      <c r="A7" s="2" t="s">
        <v>10</v>
      </c>
      <c r="B7" s="14" t="s">
        <v>11</v>
      </c>
      <c r="C7" s="58" t="str">
        <f>IFERROR((B5-B6)/(LEFT(B7, FIND(REPT(" ", 32), B7))-B6), "")</f>
        <v/>
      </c>
      <c r="G7" s="74"/>
      <c r="H7" s="74"/>
      <c r="I7" s="74"/>
      <c r="O7" s="73" t="s">
        <v>12</v>
      </c>
      <c r="P7" s="73"/>
    </row>
    <row r="8" spans="1:16" customHeight="1" ht="12.75">
      <c r="A8" s="2" t="s">
        <v>13</v>
      </c>
      <c r="B8" s="14" t="s">
        <v>14</v>
      </c>
      <c r="C8" s="58" t="str">
        <f>IFERROR((B5-B6)/(LEFT(B8, FIND(REPT(" ", 32), B8))-B6), "")</f>
        <v/>
      </c>
      <c r="O8" s="73"/>
      <c r="P8" s="73"/>
    </row>
    <row r="9" spans="1:16" customHeight="1" ht="12.75">
      <c r="B9" s="57"/>
      <c r="P9" s="59"/>
    </row>
    <row r="10" spans="1:16" customHeight="1" ht="12.75"/>
    <row r="11" spans="1:16" customHeight="1" ht="25.5">
      <c r="A11" s="8" t="s">
        <v>15</v>
      </c>
      <c r="B11" s="9"/>
      <c r="C11" s="9"/>
      <c r="D11" s="9"/>
      <c r="E11" s="9"/>
      <c r="F11" s="9"/>
      <c r="G11" s="72" t="s">
        <v>26</v>
      </c>
      <c r="H11" s="72"/>
      <c r="I11" s="72"/>
      <c r="J11" s="9"/>
      <c r="K11" s="9"/>
      <c r="L11" s="9"/>
      <c r="M11" s="9"/>
      <c r="N11" s="9"/>
      <c r="O11" s="9"/>
      <c r="P11" s="10"/>
    </row>
    <row r="12" spans="1:16" customHeight="1" ht="12.75">
      <c r="A12" s="16" t="s">
        <v>17</v>
      </c>
      <c r="B12" s="7" t="s">
        <v>18</v>
      </c>
      <c r="C12" s="7" t="s">
        <v>221</v>
      </c>
      <c r="D12" s="7" t="s">
        <v>222</v>
      </c>
      <c r="E12" s="7" t="s">
        <v>223</v>
      </c>
      <c r="F12" s="7" t="s">
        <v>224</v>
      </c>
      <c r="G12" s="7" t="s">
        <v>225</v>
      </c>
      <c r="H12" s="7" t="s">
        <v>226</v>
      </c>
      <c r="I12" s="7" t="s">
        <v>227</v>
      </c>
      <c r="J12" s="7" t="s">
        <v>228</v>
      </c>
      <c r="K12" s="7" t="s">
        <v>229</v>
      </c>
      <c r="L12" s="7" t="s">
        <v>230</v>
      </c>
      <c r="M12" s="7" t="s">
        <v>231</v>
      </c>
      <c r="N12" s="7" t="s">
        <v>232</v>
      </c>
      <c r="O12" s="7" t="s">
        <v>233</v>
      </c>
      <c r="P12" s="11" t="s">
        <v>234</v>
      </c>
    </row>
    <row r="13" spans="1:16" customHeight="1" ht="12.75">
      <c r="A13" s="17">
        <v>1.0</v>
      </c>
      <c r="B13" s="3" t="s">
        <v>49</v>
      </c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6"/>
    </row>
    <row r="14" spans="1:16" customHeight="1" ht="12.75">
      <c r="A14" s="18">
        <v>1.1</v>
      </c>
      <c r="B14" s="4" t="s">
        <v>50</v>
      </c>
      <c r="C14" s="43">
        <v>967611.85665</v>
      </c>
      <c r="D14" s="43">
        <v>19844.09</v>
      </c>
      <c r="E14" s="43">
        <v>10272</v>
      </c>
      <c r="F14" s="43">
        <v>12648.11393</v>
      </c>
      <c r="G14" s="43">
        <v>16023.47688</v>
      </c>
      <c r="H14" s="43">
        <v>7017.53</v>
      </c>
      <c r="I14" s="43">
        <v>5741</v>
      </c>
      <c r="J14" s="43">
        <v>827.74</v>
      </c>
      <c r="K14" s="43">
        <v>12076.07293</v>
      </c>
      <c r="L14" s="43">
        <v>11015.01203</v>
      </c>
      <c r="M14" s="43"/>
      <c r="N14" s="43"/>
      <c r="O14" s="43"/>
      <c r="P14" s="44">
        <f>SUM(C14:O14)</f>
        <v>1063076.89242</v>
      </c>
    </row>
    <row r="15" spans="1:16" customHeight="1" ht="12.75">
      <c r="A15" s="18">
        <v>1.2</v>
      </c>
      <c r="B15" s="4" t="s">
        <v>51</v>
      </c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4"/>
    </row>
    <row r="16" spans="1:16" customHeight="1" ht="12.75">
      <c r="A16" s="18" t="s">
        <v>52</v>
      </c>
      <c r="B16" s="4" t="s">
        <v>53</v>
      </c>
      <c r="C16" s="43">
        <v>0</v>
      </c>
      <c r="D16" s="43">
        <v>0</v>
      </c>
      <c r="E16" s="43">
        <v>0</v>
      </c>
      <c r="F16" s="43">
        <v>0</v>
      </c>
      <c r="G16" s="43">
        <v>0</v>
      </c>
      <c r="H16" s="43">
        <v>0</v>
      </c>
      <c r="I16" s="43">
        <v>0</v>
      </c>
      <c r="J16" s="43">
        <v>0</v>
      </c>
      <c r="K16" s="43">
        <v>0</v>
      </c>
      <c r="L16" s="43">
        <v>0</v>
      </c>
      <c r="M16" s="43"/>
      <c r="N16" s="43"/>
      <c r="O16" s="43"/>
      <c r="P16" s="44">
        <f>SUM(C16:O16)</f>
        <v>0</v>
      </c>
    </row>
    <row r="17" spans="1:16" customHeight="1" ht="12.75">
      <c r="A17" s="18" t="s">
        <v>54</v>
      </c>
      <c r="B17" s="4" t="s">
        <v>55</v>
      </c>
      <c r="C17" s="43">
        <v>0</v>
      </c>
      <c r="D17" s="43">
        <v>0</v>
      </c>
      <c r="E17" s="43">
        <v>0</v>
      </c>
      <c r="F17" s="43">
        <v>0</v>
      </c>
      <c r="G17" s="43">
        <v>0</v>
      </c>
      <c r="H17" s="43">
        <v>0</v>
      </c>
      <c r="I17" s="43">
        <v>0</v>
      </c>
      <c r="J17" s="43">
        <v>0</v>
      </c>
      <c r="K17" s="43">
        <v>0</v>
      </c>
      <c r="L17" s="43">
        <v>0</v>
      </c>
      <c r="M17" s="43"/>
      <c r="N17" s="43"/>
      <c r="O17" s="43"/>
      <c r="P17" s="44">
        <f>SUM(C17:O17)</f>
        <v>0</v>
      </c>
    </row>
    <row r="18" spans="1:16" customHeight="1" ht="12.75">
      <c r="A18" s="18">
        <v>1.3</v>
      </c>
      <c r="B18" s="4" t="s">
        <v>56</v>
      </c>
      <c r="C18" s="43">
        <v>0</v>
      </c>
      <c r="D18" s="43">
        <v>0</v>
      </c>
      <c r="E18" s="43">
        <v>0</v>
      </c>
      <c r="F18" s="43">
        <v>0</v>
      </c>
      <c r="G18" s="43">
        <v>0</v>
      </c>
      <c r="H18" s="43">
        <v>0</v>
      </c>
      <c r="I18" s="43">
        <v>0</v>
      </c>
      <c r="J18" s="43">
        <v>0</v>
      </c>
      <c r="K18" s="43">
        <v>0</v>
      </c>
      <c r="L18" s="43">
        <v>0</v>
      </c>
      <c r="M18" s="43"/>
      <c r="N18" s="43"/>
      <c r="O18" s="43"/>
      <c r="P18" s="44">
        <f>SUM(C18:O18)</f>
        <v>0</v>
      </c>
    </row>
    <row r="19" spans="1:16" customHeight="1" ht="12.75">
      <c r="A19" s="18">
        <v>1.4</v>
      </c>
      <c r="B19" s="4" t="s">
        <v>57</v>
      </c>
      <c r="C19" s="43">
        <v>0</v>
      </c>
      <c r="D19" s="43">
        <v>0</v>
      </c>
      <c r="E19" s="43">
        <v>0</v>
      </c>
      <c r="F19" s="43">
        <v>0</v>
      </c>
      <c r="G19" s="43">
        <v>0</v>
      </c>
      <c r="H19" s="43">
        <v>0</v>
      </c>
      <c r="I19" s="43">
        <v>0</v>
      </c>
      <c r="J19" s="43">
        <v>0</v>
      </c>
      <c r="K19" s="43">
        <v>0</v>
      </c>
      <c r="L19" s="43">
        <v>0</v>
      </c>
      <c r="M19" s="43"/>
      <c r="N19" s="43"/>
      <c r="O19" s="43"/>
      <c r="P19" s="44">
        <f>SUM(C19:O19)</f>
        <v>0</v>
      </c>
    </row>
    <row r="20" spans="1:16" customHeight="1" ht="12.75">
      <c r="A20" s="18">
        <v>1.5</v>
      </c>
      <c r="B20" s="4" t="s">
        <v>58</v>
      </c>
      <c r="C20" s="43">
        <v>0</v>
      </c>
      <c r="D20" s="43">
        <v>0</v>
      </c>
      <c r="E20" s="43">
        <v>0</v>
      </c>
      <c r="F20" s="43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/>
      <c r="N20" s="43"/>
      <c r="O20" s="43"/>
      <c r="P20" s="44">
        <f>SUM(C20:O20)</f>
        <v>0</v>
      </c>
    </row>
    <row r="21" spans="1:16" customHeight="1" ht="12.75">
      <c r="A21" s="18">
        <v>1.6</v>
      </c>
      <c r="B21" s="4" t="s">
        <v>59</v>
      </c>
      <c r="C21" s="43">
        <v>0</v>
      </c>
      <c r="D21" s="43">
        <v>0</v>
      </c>
      <c r="E21" s="43">
        <v>0</v>
      </c>
      <c r="F21" s="43">
        <v>0</v>
      </c>
      <c r="G21" s="43">
        <v>0</v>
      </c>
      <c r="H21" s="43">
        <v>0</v>
      </c>
      <c r="I21" s="43">
        <v>0</v>
      </c>
      <c r="J21" s="43">
        <v>0</v>
      </c>
      <c r="K21" s="43">
        <v>0</v>
      </c>
      <c r="L21" s="43">
        <v>0</v>
      </c>
      <c r="M21" s="43"/>
      <c r="N21" s="43"/>
      <c r="O21" s="43"/>
      <c r="P21" s="44">
        <f>SUM(C21:O21)</f>
        <v>0</v>
      </c>
    </row>
    <row r="22" spans="1:16" customHeight="1" ht="12.75">
      <c r="A22" s="18">
        <v>1.7</v>
      </c>
      <c r="B22" s="4" t="s">
        <v>60</v>
      </c>
      <c r="C22" s="43">
        <v>0</v>
      </c>
      <c r="D22" s="43">
        <v>0</v>
      </c>
      <c r="E22" s="43">
        <v>0</v>
      </c>
      <c r="F22" s="43">
        <v>0</v>
      </c>
      <c r="G22" s="43">
        <v>0</v>
      </c>
      <c r="H22" s="43">
        <v>0</v>
      </c>
      <c r="I22" s="43">
        <v>0</v>
      </c>
      <c r="J22" s="43">
        <v>0</v>
      </c>
      <c r="K22" s="43">
        <v>0</v>
      </c>
      <c r="L22" s="43">
        <v>0</v>
      </c>
      <c r="M22" s="43"/>
      <c r="N22" s="43"/>
      <c r="O22" s="43"/>
      <c r="P22" s="44">
        <f>SUM(C22:O22)</f>
        <v>0</v>
      </c>
    </row>
    <row r="23" spans="1:16" customHeight="1" ht="12.75">
      <c r="A23" s="18">
        <v>1.8</v>
      </c>
      <c r="B23" s="4" t="s">
        <v>61</v>
      </c>
      <c r="C23" s="43">
        <v>0</v>
      </c>
      <c r="D23" s="43">
        <v>0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/>
      <c r="N23" s="43"/>
      <c r="O23" s="43"/>
      <c r="P23" s="44">
        <f>SUM(C23:O23)</f>
        <v>0</v>
      </c>
    </row>
    <row r="24" spans="1:16" customHeight="1" ht="12.75">
      <c r="A24" s="18">
        <v>1.9</v>
      </c>
      <c r="B24" s="4" t="s">
        <v>62</v>
      </c>
      <c r="C24" s="43">
        <v>0</v>
      </c>
      <c r="D24" s="43">
        <v>0</v>
      </c>
      <c r="E24" s="43">
        <v>0</v>
      </c>
      <c r="F24" s="43">
        <v>0</v>
      </c>
      <c r="G24" s="43">
        <v>0</v>
      </c>
      <c r="H24" s="43">
        <v>0</v>
      </c>
      <c r="I24" s="43">
        <v>0</v>
      </c>
      <c r="J24" s="43">
        <v>0</v>
      </c>
      <c r="K24" s="43">
        <v>0</v>
      </c>
      <c r="L24" s="43">
        <v>0</v>
      </c>
      <c r="M24" s="43"/>
      <c r="N24" s="43"/>
      <c r="O24" s="43"/>
      <c r="P24" s="44">
        <f>SUM(C24:O24)</f>
        <v>0</v>
      </c>
    </row>
    <row r="25" spans="1:16" customHeight="1" ht="12.75">
      <c r="A25" s="18" t="s">
        <v>63</v>
      </c>
      <c r="B25" s="4" t="s">
        <v>64</v>
      </c>
      <c r="C25" s="43">
        <v>0.0225</v>
      </c>
      <c r="D25" s="43">
        <v>0</v>
      </c>
      <c r="E25" s="43">
        <v>0</v>
      </c>
      <c r="F25" s="43">
        <v>0</v>
      </c>
      <c r="G25" s="43">
        <v>0</v>
      </c>
      <c r="H25" s="43">
        <v>0</v>
      </c>
      <c r="I25" s="43">
        <v>0</v>
      </c>
      <c r="J25" s="43">
        <v>0</v>
      </c>
      <c r="K25" s="43">
        <v>0</v>
      </c>
      <c r="L25" s="43">
        <v>0</v>
      </c>
      <c r="M25" s="43"/>
      <c r="N25" s="43"/>
      <c r="O25" s="43"/>
      <c r="P25" s="44">
        <f>SUM(C25:O25)</f>
        <v>0.0225</v>
      </c>
    </row>
    <row r="26" spans="1:16" customHeight="1" ht="12.75">
      <c r="A26" s="18">
        <v>1.11</v>
      </c>
      <c r="B26" s="4" t="s">
        <v>65</v>
      </c>
      <c r="C26" s="43">
        <v>0</v>
      </c>
      <c r="D26" s="43">
        <v>0</v>
      </c>
      <c r="E26" s="43">
        <v>0</v>
      </c>
      <c r="F26" s="43">
        <v>0</v>
      </c>
      <c r="G26" s="43">
        <v>0</v>
      </c>
      <c r="H26" s="43">
        <v>0</v>
      </c>
      <c r="I26" s="43">
        <v>0</v>
      </c>
      <c r="J26" s="43">
        <v>0</v>
      </c>
      <c r="K26" s="43">
        <v>0</v>
      </c>
      <c r="L26" s="43">
        <v>0</v>
      </c>
      <c r="M26" s="43"/>
      <c r="N26" s="43"/>
      <c r="O26" s="43"/>
      <c r="P26" s="44">
        <f>SUM(C26:O26)</f>
        <v>0</v>
      </c>
    </row>
    <row r="27" spans="1:16" customHeight="1" ht="12.75">
      <c r="A27" s="18">
        <v>1.12</v>
      </c>
      <c r="B27" s="4" t="s">
        <v>66</v>
      </c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/>
      <c r="O27" s="43"/>
      <c r="P27" s="44"/>
    </row>
    <row r="28" spans="1:16" customHeight="1" ht="12.75">
      <c r="A28" s="18" t="s">
        <v>67</v>
      </c>
      <c r="B28" s="4" t="s">
        <v>68</v>
      </c>
      <c r="C28" s="43">
        <v>0</v>
      </c>
      <c r="D28" s="43">
        <v>0</v>
      </c>
      <c r="E28" s="43">
        <v>0</v>
      </c>
      <c r="F28" s="43">
        <v>0</v>
      </c>
      <c r="G28" s="43">
        <v>0</v>
      </c>
      <c r="H28" s="43">
        <v>0</v>
      </c>
      <c r="I28" s="43">
        <v>0</v>
      </c>
      <c r="J28" s="43">
        <v>0</v>
      </c>
      <c r="K28" s="43">
        <v>0</v>
      </c>
      <c r="L28" s="43">
        <v>0</v>
      </c>
      <c r="M28" s="43"/>
      <c r="N28" s="43"/>
      <c r="O28" s="43"/>
      <c r="P28" s="44">
        <f>SUM(C28:O28)</f>
        <v>0</v>
      </c>
    </row>
    <row r="29" spans="1:16" customHeight="1" ht="12.75">
      <c r="A29" s="18" t="s">
        <v>69</v>
      </c>
      <c r="B29" s="4" t="s">
        <v>70</v>
      </c>
      <c r="C29" s="43">
        <v>0</v>
      </c>
      <c r="D29" s="43">
        <v>0</v>
      </c>
      <c r="E29" s="43">
        <v>0</v>
      </c>
      <c r="F29" s="43">
        <v>0</v>
      </c>
      <c r="G29" s="43">
        <v>0</v>
      </c>
      <c r="H29" s="43">
        <v>0</v>
      </c>
      <c r="I29" s="43">
        <v>0</v>
      </c>
      <c r="J29" s="43">
        <v>0</v>
      </c>
      <c r="K29" s="43">
        <v>0</v>
      </c>
      <c r="L29" s="43">
        <v>0</v>
      </c>
      <c r="M29" s="43"/>
      <c r="N29" s="43"/>
      <c r="O29" s="43"/>
      <c r="P29" s="44">
        <f>SUM(C29:O29)</f>
        <v>0</v>
      </c>
    </row>
    <row r="30" spans="1:16" customHeight="1" ht="12.75">
      <c r="A30" s="18" t="s">
        <v>71</v>
      </c>
      <c r="B30" s="4" t="s">
        <v>72</v>
      </c>
      <c r="C30" s="43">
        <v>0</v>
      </c>
      <c r="D30" s="43">
        <v>0</v>
      </c>
      <c r="E30" s="43">
        <v>0</v>
      </c>
      <c r="F30" s="43">
        <v>0</v>
      </c>
      <c r="G30" s="43">
        <v>0</v>
      </c>
      <c r="H30" s="43">
        <v>0</v>
      </c>
      <c r="I30" s="43">
        <v>0</v>
      </c>
      <c r="J30" s="43">
        <v>0</v>
      </c>
      <c r="K30" s="43">
        <v>0</v>
      </c>
      <c r="L30" s="43">
        <v>0</v>
      </c>
      <c r="M30" s="43"/>
      <c r="N30" s="43"/>
      <c r="O30" s="43"/>
      <c r="P30" s="44">
        <f>SUM(C30:O30)</f>
        <v>0</v>
      </c>
    </row>
    <row r="31" spans="1:16" customHeight="1" ht="12.75">
      <c r="A31" s="18">
        <v>1.13</v>
      </c>
      <c r="B31" s="4" t="s">
        <v>73</v>
      </c>
      <c r="C31" s="43">
        <v>0</v>
      </c>
      <c r="D31" s="43">
        <v>0</v>
      </c>
      <c r="E31" s="43">
        <v>0</v>
      </c>
      <c r="F31" s="43">
        <v>0</v>
      </c>
      <c r="G31" s="43">
        <v>0</v>
      </c>
      <c r="H31" s="43">
        <v>0</v>
      </c>
      <c r="I31" s="43">
        <v>0</v>
      </c>
      <c r="J31" s="43">
        <v>0</v>
      </c>
      <c r="K31" s="43">
        <v>0</v>
      </c>
      <c r="L31" s="43">
        <v>0</v>
      </c>
      <c r="M31" s="43"/>
      <c r="N31" s="43"/>
      <c r="O31" s="43"/>
      <c r="P31" s="44">
        <f>SUM(C31:O31)</f>
        <v>0</v>
      </c>
    </row>
    <row r="32" spans="1:16" customHeight="1" ht="12.75">
      <c r="A32" s="18">
        <v>1.14</v>
      </c>
      <c r="B32" s="4" t="s">
        <v>74</v>
      </c>
      <c r="C32" s="43">
        <v>-5769.97768</v>
      </c>
      <c r="D32" s="43">
        <v>0</v>
      </c>
      <c r="E32" s="43">
        <v>0</v>
      </c>
      <c r="F32" s="43">
        <v>0</v>
      </c>
      <c r="G32" s="43">
        <v>0</v>
      </c>
      <c r="H32" s="43">
        <v>0</v>
      </c>
      <c r="I32" s="43">
        <v>0</v>
      </c>
      <c r="J32" s="43">
        <v>0</v>
      </c>
      <c r="K32" s="43">
        <v>0</v>
      </c>
      <c r="L32" s="43">
        <v>0</v>
      </c>
      <c r="M32" s="43"/>
      <c r="N32" s="43"/>
      <c r="O32" s="43"/>
      <c r="P32" s="44">
        <f>SUM(C32:O32)</f>
        <v>-5769.97768</v>
      </c>
    </row>
    <row r="33" spans="1:16" customHeight="1" ht="12.75">
      <c r="A33" s="18">
        <v>1.15</v>
      </c>
      <c r="B33" s="4" t="s">
        <v>75</v>
      </c>
      <c r="C33" s="43">
        <v>0</v>
      </c>
      <c r="D33" s="43">
        <v>0</v>
      </c>
      <c r="E33" s="43">
        <v>0</v>
      </c>
      <c r="F33" s="43">
        <v>0</v>
      </c>
      <c r="G33" s="43">
        <v>0</v>
      </c>
      <c r="H33" s="43">
        <v>0</v>
      </c>
      <c r="I33" s="43">
        <v>0</v>
      </c>
      <c r="J33" s="43">
        <v>0</v>
      </c>
      <c r="K33" s="43">
        <v>0</v>
      </c>
      <c r="L33" s="43">
        <v>0</v>
      </c>
      <c r="M33" s="43"/>
      <c r="N33" s="43"/>
      <c r="O33" s="43"/>
      <c r="P33" s="44">
        <f>SUM(C33:O33)</f>
        <v>0</v>
      </c>
    </row>
    <row r="34" spans="1:16" customHeight="1" ht="12.75">
      <c r="A34" s="18">
        <v>1.16</v>
      </c>
      <c r="B34" s="4" t="s">
        <v>76</v>
      </c>
      <c r="C34" s="43">
        <v>0</v>
      </c>
      <c r="D34" s="43">
        <v>0</v>
      </c>
      <c r="E34" s="43">
        <v>0</v>
      </c>
      <c r="F34" s="43">
        <v>0</v>
      </c>
      <c r="G34" s="43">
        <v>0</v>
      </c>
      <c r="H34" s="43">
        <v>0</v>
      </c>
      <c r="I34" s="43">
        <v>0</v>
      </c>
      <c r="J34" s="43">
        <v>0</v>
      </c>
      <c r="K34" s="43">
        <v>0</v>
      </c>
      <c r="L34" s="43">
        <v>0</v>
      </c>
      <c r="M34" s="43"/>
      <c r="N34" s="43"/>
      <c r="O34" s="43"/>
      <c r="P34" s="44">
        <f>SUM(C34:O34)</f>
        <v>0</v>
      </c>
    </row>
    <row r="35" spans="1:16" customHeight="1" ht="12.75">
      <c r="A35" s="19">
        <v>1.17</v>
      </c>
      <c r="B35" s="5" t="s">
        <v>77</v>
      </c>
      <c r="C35" s="45">
        <v>0</v>
      </c>
      <c r="D35" s="45">
        <v>0</v>
      </c>
      <c r="E35" s="45">
        <v>0</v>
      </c>
      <c r="F35" s="45">
        <v>0</v>
      </c>
      <c r="G35" s="45">
        <v>0</v>
      </c>
      <c r="H35" s="45">
        <v>0</v>
      </c>
      <c r="I35" s="45">
        <v>0</v>
      </c>
      <c r="J35" s="45">
        <v>0</v>
      </c>
      <c r="K35" s="45">
        <v>0</v>
      </c>
      <c r="L35" s="45">
        <v>0</v>
      </c>
      <c r="M35" s="45"/>
      <c r="N35" s="45"/>
      <c r="O35" s="45"/>
      <c r="P35" s="46">
        <f>SUM(C35:O35)</f>
        <v>0</v>
      </c>
    </row>
    <row r="36" spans="1:16" customHeight="1" ht="12.75">
      <c r="A36" s="20"/>
      <c r="B36" s="15" t="s">
        <v>78</v>
      </c>
      <c r="C36" s="47">
        <f>SUM(C13:C35)</f>
        <v>961841.90147</v>
      </c>
      <c r="D36" s="47">
        <f>SUM(D13:D35)</f>
        <v>19844.09</v>
      </c>
      <c r="E36" s="47">
        <f>SUM(E13:E35)</f>
        <v>10272</v>
      </c>
      <c r="F36" s="47">
        <f>SUM(F13:F35)</f>
        <v>12648.11393</v>
      </c>
      <c r="G36" s="47">
        <f>SUM(G13:G35)</f>
        <v>16023.47688</v>
      </c>
      <c r="H36" s="47">
        <f>SUM(H13:H35)</f>
        <v>7017.53</v>
      </c>
      <c r="I36" s="47">
        <f>SUM(I13:I35)</f>
        <v>5741</v>
      </c>
      <c r="J36" s="47">
        <f>SUM(J13:J35)</f>
        <v>827.74</v>
      </c>
      <c r="K36" s="47">
        <f>SUM(K13:K35)</f>
        <v>12076.07293</v>
      </c>
      <c r="L36" s="47">
        <f>SUM(L13:L35)</f>
        <v>11015.01203</v>
      </c>
      <c r="M36" s="47">
        <f>SUM(M13:M35)</f>
        <v>0</v>
      </c>
      <c r="N36" s="47">
        <f>SUM(N13:N35)</f>
        <v>0</v>
      </c>
      <c r="O36" s="47">
        <f>SUM(O13:O35)</f>
        <v>0</v>
      </c>
      <c r="P36" s="48">
        <f>SUM(P13:P35)</f>
        <v>1057306.93724</v>
      </c>
    </row>
    <row r="37" spans="1:16" customHeight="1" ht="12.75">
      <c r="A37" s="18"/>
      <c r="B37" s="4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4"/>
    </row>
    <row r="38" spans="1:16" customHeight="1" ht="12.75">
      <c r="A38" s="18">
        <v>2.0</v>
      </c>
      <c r="B38" s="4" t="s">
        <v>79</v>
      </c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4"/>
    </row>
    <row r="39" spans="1:16" customHeight="1" ht="12.75">
      <c r="A39" s="18">
        <v>2.1</v>
      </c>
      <c r="B39" s="4" t="s">
        <v>80</v>
      </c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4"/>
    </row>
    <row r="40" spans="1:16" customHeight="1" ht="12.75">
      <c r="A40" s="18" t="s">
        <v>81</v>
      </c>
      <c r="B40" s="4" t="s">
        <v>82</v>
      </c>
      <c r="C40" s="43">
        <v>85439.95066</v>
      </c>
      <c r="D40" s="43">
        <v>1532.99</v>
      </c>
      <c r="E40" s="43">
        <v>1943.64</v>
      </c>
      <c r="F40" s="43">
        <v>1491.28</v>
      </c>
      <c r="G40" s="43">
        <v>1207.6</v>
      </c>
      <c r="H40" s="43">
        <v>1315.36</v>
      </c>
      <c r="I40" s="43">
        <v>1311.06</v>
      </c>
      <c r="J40" s="43">
        <v>1234.6007</v>
      </c>
      <c r="K40" s="43">
        <v>1065.6485</v>
      </c>
      <c r="L40" s="43">
        <v>1131.3624</v>
      </c>
      <c r="M40" s="43"/>
      <c r="N40" s="43"/>
      <c r="O40" s="43"/>
      <c r="P40" s="44">
        <f>SUM(C40:O40)</f>
        <v>97673.49226</v>
      </c>
    </row>
    <row r="41" spans="1:16" customHeight="1" ht="12.75">
      <c r="A41" s="18" t="s">
        <v>83</v>
      </c>
      <c r="B41" s="4" t="s">
        <v>84</v>
      </c>
      <c r="C41" s="43">
        <v>293.31</v>
      </c>
      <c r="D41" s="43">
        <v>-28.94</v>
      </c>
      <c r="E41" s="43">
        <v>49.06</v>
      </c>
      <c r="F41" s="43">
        <v>58.86</v>
      </c>
      <c r="G41" s="43">
        <v>69.4</v>
      </c>
      <c r="H41" s="43">
        <v>474.79945</v>
      </c>
      <c r="I41" s="43">
        <v>315.22118</v>
      </c>
      <c r="J41" s="43">
        <v>92.5101</v>
      </c>
      <c r="K41" s="43">
        <v>101.55161</v>
      </c>
      <c r="L41" s="43">
        <v>1113.19014</v>
      </c>
      <c r="M41" s="43"/>
      <c r="N41" s="43"/>
      <c r="O41" s="43"/>
      <c r="P41" s="44">
        <f>SUM(C41:O41)</f>
        <v>2538.96248</v>
      </c>
    </row>
    <row r="42" spans="1:16" customHeight="1" ht="12.75">
      <c r="A42" s="18" t="s">
        <v>85</v>
      </c>
      <c r="B42" s="4" t="s">
        <v>86</v>
      </c>
      <c r="C42" s="43">
        <v>1380.79751</v>
      </c>
      <c r="D42" s="43">
        <v>-54.58</v>
      </c>
      <c r="E42" s="43">
        <v>12.98</v>
      </c>
      <c r="F42" s="43">
        <v>26.67</v>
      </c>
      <c r="G42" s="43">
        <v>14.3</v>
      </c>
      <c r="H42" s="43">
        <v>69.05</v>
      </c>
      <c r="I42" s="43">
        <v>80.74</v>
      </c>
      <c r="J42" s="43">
        <v>53.499</v>
      </c>
      <c r="K42" s="43">
        <v>72.25555</v>
      </c>
      <c r="L42" s="43">
        <v>72.45</v>
      </c>
      <c r="M42" s="43"/>
      <c r="N42" s="43"/>
      <c r="O42" s="43"/>
      <c r="P42" s="44">
        <f>SUM(C42:O42)</f>
        <v>1728.16206</v>
      </c>
    </row>
    <row r="43" spans="1:16" customHeight="1" ht="12.75">
      <c r="A43" s="18" t="s">
        <v>87</v>
      </c>
      <c r="B43" s="4" t="s">
        <v>88</v>
      </c>
      <c r="C43" s="43">
        <v>108135.86402</v>
      </c>
      <c r="D43" s="43">
        <v>4137.02357</v>
      </c>
      <c r="E43" s="43">
        <v>511.59352</v>
      </c>
      <c r="F43" s="43">
        <v>436.86613</v>
      </c>
      <c r="G43" s="43">
        <v>1030.0734</v>
      </c>
      <c r="H43" s="43">
        <v>-82672.65517</v>
      </c>
      <c r="I43" s="43">
        <v>-3987.45235</v>
      </c>
      <c r="J43" s="43">
        <v>388.0125</v>
      </c>
      <c r="K43" s="43">
        <v>246.75857</v>
      </c>
      <c r="L43" s="43">
        <v>339.35357</v>
      </c>
      <c r="M43" s="43"/>
      <c r="N43" s="43"/>
      <c r="O43" s="43"/>
      <c r="P43" s="44">
        <f>SUM(C43:O43)</f>
        <v>28565.43776</v>
      </c>
    </row>
    <row r="44" spans="1:16" customHeight="1" ht="12.75">
      <c r="A44" s="18" t="s">
        <v>89</v>
      </c>
      <c r="B44" s="4" t="s">
        <v>90</v>
      </c>
      <c r="C44" s="43">
        <v>13786.87745</v>
      </c>
      <c r="D44" s="43">
        <v>199.1535</v>
      </c>
      <c r="E44" s="43">
        <v>1283.4614</v>
      </c>
      <c r="F44" s="43">
        <v>433.96855</v>
      </c>
      <c r="G44" s="43">
        <v>458.697</v>
      </c>
      <c r="H44" s="43">
        <v>483.2982</v>
      </c>
      <c r="I44" s="43">
        <v>-539.617</v>
      </c>
      <c r="J44" s="43">
        <v>447.72</v>
      </c>
      <c r="K44" s="43">
        <v>759.93685</v>
      </c>
      <c r="L44" s="43">
        <v>69.631</v>
      </c>
      <c r="M44" s="43"/>
      <c r="N44" s="43"/>
      <c r="O44" s="43"/>
      <c r="P44" s="44">
        <f>SUM(C44:O44)</f>
        <v>17383.12695</v>
      </c>
    </row>
    <row r="45" spans="1:16" customHeight="1" ht="12.75">
      <c r="A45" s="18" t="s">
        <v>91</v>
      </c>
      <c r="B45" s="4" t="s">
        <v>92</v>
      </c>
      <c r="C45" s="43">
        <v>61928.51853</v>
      </c>
      <c r="D45" s="43">
        <v>-254.24052</v>
      </c>
      <c r="E45" s="43">
        <v>1361.57633</v>
      </c>
      <c r="F45" s="43">
        <v>2394.9791</v>
      </c>
      <c r="G45" s="43">
        <v>2046.33067</v>
      </c>
      <c r="H45" s="43">
        <v>839.7761</v>
      </c>
      <c r="I45" s="43">
        <v>1559.95667</v>
      </c>
      <c r="J45" s="43">
        <v>1162.16617</v>
      </c>
      <c r="K45" s="43">
        <v>1170.11745</v>
      </c>
      <c r="L45" s="43">
        <v>1498.14956</v>
      </c>
      <c r="M45" s="43"/>
      <c r="N45" s="43"/>
      <c r="O45" s="43"/>
      <c r="P45" s="44">
        <f>SUM(C45:O45)</f>
        <v>73707.33006</v>
      </c>
    </row>
    <row r="46" spans="1:16" customHeight="1" ht="12.75">
      <c r="A46" s="18" t="s">
        <v>93</v>
      </c>
      <c r="B46" s="4" t="s">
        <v>94</v>
      </c>
      <c r="C46" s="43">
        <v>0</v>
      </c>
      <c r="D46" s="43">
        <v>0</v>
      </c>
      <c r="E46" s="43">
        <v>0</v>
      </c>
      <c r="F46" s="43">
        <v>0</v>
      </c>
      <c r="G46" s="43">
        <v>0</v>
      </c>
      <c r="H46" s="43">
        <v>0</v>
      </c>
      <c r="I46" s="43">
        <v>0</v>
      </c>
      <c r="J46" s="43">
        <v>0</v>
      </c>
      <c r="K46" s="43">
        <v>0</v>
      </c>
      <c r="L46" s="43">
        <v>0</v>
      </c>
      <c r="M46" s="43"/>
      <c r="N46" s="43"/>
      <c r="O46" s="43"/>
      <c r="P46" s="44">
        <f>SUM(C46:O46)</f>
        <v>0</v>
      </c>
    </row>
    <row r="47" spans="1:16" customHeight="1" ht="12.75">
      <c r="A47" s="18" t="s">
        <v>95</v>
      </c>
      <c r="B47" s="4" t="s">
        <v>96</v>
      </c>
      <c r="C47" s="43">
        <v>400.8169</v>
      </c>
      <c r="D47" s="43">
        <v>1.024</v>
      </c>
      <c r="E47" s="43">
        <v>6.877</v>
      </c>
      <c r="F47" s="43">
        <v>5.823</v>
      </c>
      <c r="G47" s="43">
        <v>7.966</v>
      </c>
      <c r="H47" s="43">
        <v>9.683</v>
      </c>
      <c r="I47" s="43">
        <v>0.192</v>
      </c>
      <c r="J47" s="43">
        <v>5.629</v>
      </c>
      <c r="K47" s="43">
        <v>10.067</v>
      </c>
      <c r="L47" s="43">
        <v>0</v>
      </c>
      <c r="M47" s="43"/>
      <c r="N47" s="43"/>
      <c r="O47" s="43"/>
      <c r="P47" s="44">
        <f>SUM(C47:O47)</f>
        <v>448.0779</v>
      </c>
    </row>
    <row r="48" spans="1:16" customHeight="1" ht="12.75">
      <c r="A48" s="18" t="s">
        <v>97</v>
      </c>
      <c r="B48" s="4" t="s">
        <v>98</v>
      </c>
      <c r="C48" s="43">
        <v>27761.08815</v>
      </c>
      <c r="D48" s="43">
        <v>40</v>
      </c>
      <c r="E48" s="43">
        <v>940.89152</v>
      </c>
      <c r="F48" s="43">
        <v>649.43</v>
      </c>
      <c r="G48" s="43">
        <v>352.935</v>
      </c>
      <c r="H48" s="43">
        <v>0</v>
      </c>
      <c r="I48" s="43">
        <v>623.7</v>
      </c>
      <c r="J48" s="43">
        <v>337.58986</v>
      </c>
      <c r="K48" s="43">
        <v>304.80916</v>
      </c>
      <c r="L48" s="43">
        <v>938.75157</v>
      </c>
      <c r="M48" s="43"/>
      <c r="N48" s="43"/>
      <c r="O48" s="43"/>
      <c r="P48" s="44">
        <f>SUM(C48:O48)</f>
        <v>31949.19526</v>
      </c>
    </row>
    <row r="49" spans="1:16" customHeight="1" ht="12.75">
      <c r="A49" s="18" t="s">
        <v>99</v>
      </c>
      <c r="B49" s="4" t="s">
        <v>100</v>
      </c>
      <c r="C49" s="43">
        <v>0</v>
      </c>
      <c r="D49" s="43">
        <v>0</v>
      </c>
      <c r="E49" s="43">
        <v>0</v>
      </c>
      <c r="F49" s="43">
        <v>0</v>
      </c>
      <c r="G49" s="43">
        <v>0</v>
      </c>
      <c r="H49" s="43">
        <v>0</v>
      </c>
      <c r="I49" s="43">
        <v>0</v>
      </c>
      <c r="J49" s="43">
        <v>0</v>
      </c>
      <c r="K49" s="43">
        <v>0</v>
      </c>
      <c r="L49" s="43">
        <v>0</v>
      </c>
      <c r="M49" s="43"/>
      <c r="N49" s="43"/>
      <c r="O49" s="43"/>
      <c r="P49" s="44">
        <f>SUM(C49:O49)</f>
        <v>0</v>
      </c>
    </row>
    <row r="50" spans="1:16" customHeight="1" ht="12.75">
      <c r="A50" s="18" t="s">
        <v>101</v>
      </c>
      <c r="B50" s="4" t="s">
        <v>102</v>
      </c>
      <c r="C50" s="43">
        <v>8796.34209</v>
      </c>
      <c r="D50" s="43">
        <v>581.2954</v>
      </c>
      <c r="E50" s="43">
        <v>88.463</v>
      </c>
      <c r="F50" s="43">
        <v>273.5223</v>
      </c>
      <c r="G50" s="43">
        <v>65.8954</v>
      </c>
      <c r="H50" s="43">
        <v>273.54203</v>
      </c>
      <c r="I50" s="43">
        <v>205.2506</v>
      </c>
      <c r="J50" s="43">
        <v>732.39164</v>
      </c>
      <c r="K50" s="43">
        <v>11.402</v>
      </c>
      <c r="L50" s="43">
        <v>184.727</v>
      </c>
      <c r="M50" s="43"/>
      <c r="N50" s="43"/>
      <c r="O50" s="43"/>
      <c r="P50" s="44">
        <f>SUM(C50:O50)</f>
        <v>11212.83146</v>
      </c>
    </row>
    <row r="51" spans="1:16" customHeight="1" ht="12.75">
      <c r="A51" s="18" t="s">
        <v>103</v>
      </c>
      <c r="B51" s="4" t="s">
        <v>104</v>
      </c>
      <c r="C51" s="43">
        <v>0</v>
      </c>
      <c r="D51" s="43">
        <v>0</v>
      </c>
      <c r="E51" s="43">
        <v>0</v>
      </c>
      <c r="F51" s="43">
        <v>0</v>
      </c>
      <c r="G51" s="43">
        <v>0</v>
      </c>
      <c r="H51" s="43">
        <v>0</v>
      </c>
      <c r="I51" s="43">
        <v>0</v>
      </c>
      <c r="J51" s="43">
        <v>0</v>
      </c>
      <c r="K51" s="43">
        <v>0</v>
      </c>
      <c r="L51" s="43">
        <v>0</v>
      </c>
      <c r="M51" s="43"/>
      <c r="N51" s="43"/>
      <c r="O51" s="43"/>
      <c r="P51" s="44">
        <f>SUM(C51:O51)</f>
        <v>0</v>
      </c>
    </row>
    <row r="52" spans="1:16" customHeight="1" ht="12.75">
      <c r="A52" s="18" t="s">
        <v>105</v>
      </c>
      <c r="B52" s="4" t="s">
        <v>106</v>
      </c>
      <c r="C52" s="43">
        <v>0</v>
      </c>
      <c r="D52" s="43">
        <v>0</v>
      </c>
      <c r="E52" s="43">
        <v>0</v>
      </c>
      <c r="F52" s="43">
        <v>0</v>
      </c>
      <c r="G52" s="43">
        <v>0</v>
      </c>
      <c r="H52" s="43">
        <v>0</v>
      </c>
      <c r="I52" s="43">
        <v>0</v>
      </c>
      <c r="J52" s="43">
        <v>0</v>
      </c>
      <c r="K52" s="43">
        <v>0</v>
      </c>
      <c r="L52" s="43">
        <v>0</v>
      </c>
      <c r="M52" s="43"/>
      <c r="N52" s="43"/>
      <c r="O52" s="43"/>
      <c r="P52" s="44">
        <f>SUM(C52:O52)</f>
        <v>0</v>
      </c>
    </row>
    <row r="53" spans="1:16" customHeight="1" ht="12.75">
      <c r="A53" s="18">
        <v>2.2</v>
      </c>
      <c r="B53" s="4" t="s">
        <v>107</v>
      </c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  <c r="N53" s="43"/>
      <c r="O53" s="43"/>
      <c r="P53" s="44"/>
    </row>
    <row r="54" spans="1:16" customHeight="1" ht="12.75">
      <c r="A54" s="18" t="s">
        <v>108</v>
      </c>
      <c r="B54" s="4" t="s">
        <v>109</v>
      </c>
      <c r="C54" s="43">
        <v>10156.844</v>
      </c>
      <c r="D54" s="43">
        <v>232.384</v>
      </c>
      <c r="E54" s="43">
        <v>183.3565</v>
      </c>
      <c r="F54" s="43">
        <v>376.7655</v>
      </c>
      <c r="G54" s="43">
        <v>312.6815</v>
      </c>
      <c r="H54" s="43">
        <v>463.7625</v>
      </c>
      <c r="I54" s="43">
        <v>333.938</v>
      </c>
      <c r="J54" s="43">
        <v>108.64</v>
      </c>
      <c r="K54" s="43">
        <v>388.8355</v>
      </c>
      <c r="L54" s="43">
        <v>115.2165</v>
      </c>
      <c r="M54" s="43"/>
      <c r="N54" s="43"/>
      <c r="O54" s="43"/>
      <c r="P54" s="44">
        <f>SUM(C54:O54)</f>
        <v>12672.424</v>
      </c>
    </row>
    <row r="55" spans="1:16" customHeight="1" ht="12.75">
      <c r="A55" s="18" t="s">
        <v>110</v>
      </c>
      <c r="B55" s="4" t="s">
        <v>111</v>
      </c>
      <c r="C55" s="43">
        <v>4574.42254</v>
      </c>
      <c r="D55" s="43">
        <v>283.6</v>
      </c>
      <c r="E55" s="43">
        <v>1775.25335</v>
      </c>
      <c r="F55" s="43">
        <v>244.44946</v>
      </c>
      <c r="G55" s="43">
        <v>48.3936</v>
      </c>
      <c r="H55" s="43">
        <v>58.0975</v>
      </c>
      <c r="I55" s="43">
        <v>458.90699</v>
      </c>
      <c r="J55" s="43">
        <v>264.03253</v>
      </c>
      <c r="K55" s="43">
        <v>54.4813</v>
      </c>
      <c r="L55" s="43">
        <v>540.9742</v>
      </c>
      <c r="M55" s="43"/>
      <c r="N55" s="43"/>
      <c r="O55" s="43"/>
      <c r="P55" s="44">
        <f>SUM(C55:O55)</f>
        <v>8302.61147</v>
      </c>
    </row>
    <row r="56" spans="1:16" customHeight="1" ht="12.75">
      <c r="A56" s="18" t="s">
        <v>112</v>
      </c>
      <c r="B56" s="4" t="s">
        <v>113</v>
      </c>
      <c r="C56" s="43">
        <v>0</v>
      </c>
      <c r="D56" s="43">
        <v>0</v>
      </c>
      <c r="E56" s="43">
        <v>0</v>
      </c>
      <c r="F56" s="43">
        <v>0</v>
      </c>
      <c r="G56" s="43">
        <v>0</v>
      </c>
      <c r="H56" s="43">
        <v>0</v>
      </c>
      <c r="I56" s="43">
        <v>0</v>
      </c>
      <c r="J56" s="43">
        <v>0</v>
      </c>
      <c r="K56" s="43">
        <v>0</v>
      </c>
      <c r="L56" s="43">
        <v>0</v>
      </c>
      <c r="M56" s="43"/>
      <c r="N56" s="43"/>
      <c r="O56" s="43"/>
      <c r="P56" s="44">
        <f>SUM(C56:O56)</f>
        <v>0</v>
      </c>
    </row>
    <row r="57" spans="1:16" customHeight="1" ht="12.75">
      <c r="A57" s="18" t="s">
        <v>114</v>
      </c>
      <c r="B57" s="4" t="s">
        <v>115</v>
      </c>
      <c r="C57" s="43">
        <v>11731.63724</v>
      </c>
      <c r="D57" s="43">
        <v>0</v>
      </c>
      <c r="E57" s="43">
        <v>765.84672</v>
      </c>
      <c r="F57" s="43">
        <v>40.9</v>
      </c>
      <c r="G57" s="43">
        <v>49.58</v>
      </c>
      <c r="H57" s="43">
        <v>4187.04</v>
      </c>
      <c r="I57" s="43">
        <v>397.32343</v>
      </c>
      <c r="J57" s="43">
        <v>0</v>
      </c>
      <c r="K57" s="43">
        <v>83.56548</v>
      </c>
      <c r="L57" s="43">
        <v>51.3556</v>
      </c>
      <c r="M57" s="43"/>
      <c r="N57" s="43"/>
      <c r="O57" s="43"/>
      <c r="P57" s="44">
        <f>SUM(C57:O57)</f>
        <v>17307.24847</v>
      </c>
    </row>
    <row r="58" spans="1:16" customHeight="1" ht="12.75">
      <c r="A58" s="18" t="s">
        <v>116</v>
      </c>
      <c r="B58" s="4" t="s">
        <v>117</v>
      </c>
      <c r="C58" s="43">
        <v>0</v>
      </c>
      <c r="D58" s="43">
        <v>0</v>
      </c>
      <c r="E58" s="43">
        <v>0</v>
      </c>
      <c r="F58" s="43">
        <v>0</v>
      </c>
      <c r="G58" s="43">
        <v>0</v>
      </c>
      <c r="H58" s="43">
        <v>0</v>
      </c>
      <c r="I58" s="43">
        <v>0</v>
      </c>
      <c r="J58" s="43">
        <v>0</v>
      </c>
      <c r="K58" s="43">
        <v>0</v>
      </c>
      <c r="L58" s="43">
        <v>0</v>
      </c>
      <c r="M58" s="43"/>
      <c r="N58" s="43"/>
      <c r="O58" s="43"/>
      <c r="P58" s="44">
        <f>SUM(C58:O58)</f>
        <v>0</v>
      </c>
    </row>
    <row r="59" spans="1:16" customHeight="1" ht="12.75">
      <c r="A59" s="18" t="s">
        <v>118</v>
      </c>
      <c r="B59" s="4" t="s">
        <v>119</v>
      </c>
      <c r="C59" s="43">
        <v>0</v>
      </c>
      <c r="D59" s="43">
        <v>0</v>
      </c>
      <c r="E59" s="43">
        <v>0</v>
      </c>
      <c r="F59" s="43">
        <v>0</v>
      </c>
      <c r="G59" s="43">
        <v>0</v>
      </c>
      <c r="H59" s="43">
        <v>0</v>
      </c>
      <c r="I59" s="43">
        <v>0</v>
      </c>
      <c r="J59" s="43">
        <v>0</v>
      </c>
      <c r="K59" s="43">
        <v>0</v>
      </c>
      <c r="L59" s="43">
        <v>0</v>
      </c>
      <c r="M59" s="43"/>
      <c r="N59" s="43"/>
      <c r="O59" s="43"/>
      <c r="P59" s="44">
        <f>SUM(C59:O59)</f>
        <v>0</v>
      </c>
    </row>
    <row r="60" spans="1:16" customHeight="1" ht="12.75">
      <c r="A60" s="18" t="s">
        <v>120</v>
      </c>
      <c r="B60" s="4" t="s">
        <v>121</v>
      </c>
      <c r="C60" s="43">
        <v>934.543</v>
      </c>
      <c r="D60" s="43">
        <v>0</v>
      </c>
      <c r="E60" s="43">
        <v>0</v>
      </c>
      <c r="F60" s="43">
        <v>0</v>
      </c>
      <c r="G60" s="43">
        <v>0</v>
      </c>
      <c r="H60" s="43">
        <v>237.6485</v>
      </c>
      <c r="I60" s="43">
        <v>37.3335</v>
      </c>
      <c r="J60" s="43">
        <v>0</v>
      </c>
      <c r="K60" s="43">
        <v>0</v>
      </c>
      <c r="L60" s="43">
        <v>100.791</v>
      </c>
      <c r="M60" s="43"/>
      <c r="N60" s="43"/>
      <c r="O60" s="43"/>
      <c r="P60" s="44">
        <f>SUM(C60:O60)</f>
        <v>1310.316</v>
      </c>
    </row>
    <row r="61" spans="1:16" customHeight="1" ht="12.75">
      <c r="A61" s="18" t="s">
        <v>122</v>
      </c>
      <c r="B61" s="4" t="s">
        <v>123</v>
      </c>
      <c r="C61" s="43">
        <v>0</v>
      </c>
      <c r="D61" s="43">
        <v>0</v>
      </c>
      <c r="E61" s="43">
        <v>0</v>
      </c>
      <c r="F61" s="43">
        <v>0</v>
      </c>
      <c r="G61" s="43">
        <v>0</v>
      </c>
      <c r="H61" s="43">
        <v>0</v>
      </c>
      <c r="I61" s="43">
        <v>0</v>
      </c>
      <c r="J61" s="43">
        <v>0</v>
      </c>
      <c r="K61" s="43">
        <v>0</v>
      </c>
      <c r="L61" s="43">
        <v>0</v>
      </c>
      <c r="M61" s="43"/>
      <c r="N61" s="43"/>
      <c r="O61" s="43"/>
      <c r="P61" s="44">
        <f>SUM(C61:O61)</f>
        <v>0</v>
      </c>
    </row>
    <row r="62" spans="1:16" customHeight="1" ht="12.75">
      <c r="A62" s="18" t="s">
        <v>124</v>
      </c>
      <c r="B62" s="4" t="s">
        <v>125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/>
      <c r="N62" s="43"/>
      <c r="O62" s="43"/>
      <c r="P62" s="44">
        <f>SUM(C62:O62)</f>
        <v>0</v>
      </c>
    </row>
    <row r="63" spans="1:16" customHeight="1" ht="12.75">
      <c r="A63" s="18" t="s">
        <v>126</v>
      </c>
      <c r="B63" s="4" t="s">
        <v>127</v>
      </c>
      <c r="C63" s="43">
        <v>0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/>
      <c r="N63" s="43"/>
      <c r="O63" s="43"/>
      <c r="P63" s="44">
        <f>SUM(C63:O63)</f>
        <v>0</v>
      </c>
    </row>
    <row r="64" spans="1:16" customHeight="1" ht="12.75">
      <c r="A64" s="18" t="s">
        <v>128</v>
      </c>
      <c r="B64" s="4" t="s">
        <v>129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/>
      <c r="N64" s="43"/>
      <c r="O64" s="43"/>
      <c r="P64" s="44">
        <f>SUM(C64:O64)</f>
        <v>0</v>
      </c>
    </row>
    <row r="65" spans="1:16" customHeight="1" ht="12.75">
      <c r="A65" s="18" t="s">
        <v>130</v>
      </c>
      <c r="B65" s="4" t="s">
        <v>131</v>
      </c>
      <c r="C65" s="43">
        <v>0</v>
      </c>
      <c r="D65" s="43">
        <v>0</v>
      </c>
      <c r="E65" s="43">
        <v>0</v>
      </c>
      <c r="F65" s="43">
        <v>0</v>
      </c>
      <c r="G65" s="43">
        <v>0</v>
      </c>
      <c r="H65" s="43">
        <v>0</v>
      </c>
      <c r="I65" s="43">
        <v>0</v>
      </c>
      <c r="J65" s="43">
        <v>0</v>
      </c>
      <c r="K65" s="43">
        <v>0</v>
      </c>
      <c r="L65" s="43">
        <v>0</v>
      </c>
      <c r="M65" s="43"/>
      <c r="N65" s="43"/>
      <c r="O65" s="43"/>
      <c r="P65" s="44">
        <f>SUM(C65:O65)</f>
        <v>0</v>
      </c>
    </row>
    <row r="66" spans="1:16" customHeight="1" ht="12.75">
      <c r="A66" s="18" t="s">
        <v>132</v>
      </c>
      <c r="B66" s="4" t="s">
        <v>133</v>
      </c>
      <c r="C66" s="43">
        <v>4258.03756</v>
      </c>
      <c r="D66" s="43">
        <v>443.42215</v>
      </c>
      <c r="E66" s="43">
        <v>191.2093</v>
      </c>
      <c r="F66" s="43">
        <v>285.9</v>
      </c>
      <c r="G66" s="43">
        <v>8.25</v>
      </c>
      <c r="H66" s="43">
        <v>524.07501</v>
      </c>
      <c r="I66" s="43">
        <v>314.79815</v>
      </c>
      <c r="J66" s="43">
        <v>74.8136</v>
      </c>
      <c r="K66" s="43">
        <v>2315.30551</v>
      </c>
      <c r="L66" s="43">
        <v>613.49991</v>
      </c>
      <c r="M66" s="43"/>
      <c r="N66" s="43"/>
      <c r="O66" s="43"/>
      <c r="P66" s="44">
        <f>SUM(C66:O66)</f>
        <v>9029.31119</v>
      </c>
    </row>
    <row r="67" spans="1:16" customHeight="1" ht="12.75">
      <c r="A67" s="18" t="s">
        <v>134</v>
      </c>
      <c r="B67" s="4" t="s">
        <v>135</v>
      </c>
      <c r="C67" s="43">
        <v>16634.98206</v>
      </c>
      <c r="D67" s="43">
        <v>1316.89347</v>
      </c>
      <c r="E67" s="43">
        <v>180</v>
      </c>
      <c r="F67" s="43">
        <v>-158.1155</v>
      </c>
      <c r="G67" s="43">
        <v>-325.34866</v>
      </c>
      <c r="H67" s="43">
        <v>-8826.53758</v>
      </c>
      <c r="I67" s="43">
        <v>0</v>
      </c>
      <c r="J67" s="43">
        <v>0</v>
      </c>
      <c r="K67" s="43">
        <v>-671.26545</v>
      </c>
      <c r="L67" s="43">
        <v>1146.82181</v>
      </c>
      <c r="M67" s="43"/>
      <c r="N67" s="43"/>
      <c r="O67" s="43"/>
      <c r="P67" s="44">
        <f>SUM(C67:O67)</f>
        <v>9297.43015</v>
      </c>
    </row>
    <row r="68" spans="1:16" customHeight="1" ht="12.75">
      <c r="A68" s="18" t="s">
        <v>136</v>
      </c>
      <c r="B68" s="4" t="s">
        <v>137</v>
      </c>
      <c r="C68" s="43">
        <v>0</v>
      </c>
      <c r="D68" s="43">
        <v>0</v>
      </c>
      <c r="E68" s="43">
        <v>0</v>
      </c>
      <c r="F68" s="43">
        <v>0</v>
      </c>
      <c r="G68" s="43">
        <v>0</v>
      </c>
      <c r="H68" s="43">
        <v>0</v>
      </c>
      <c r="I68" s="43">
        <v>0</v>
      </c>
      <c r="J68" s="43">
        <v>0</v>
      </c>
      <c r="K68" s="43">
        <v>0</v>
      </c>
      <c r="L68" s="43">
        <v>0</v>
      </c>
      <c r="M68" s="43"/>
      <c r="N68" s="43"/>
      <c r="O68" s="43"/>
      <c r="P68" s="44">
        <f>SUM(C68:O68)</f>
        <v>0</v>
      </c>
    </row>
    <row r="69" spans="1:16" customHeight="1" ht="12.75">
      <c r="A69" s="18" t="s">
        <v>138</v>
      </c>
      <c r="B69" s="4" t="s">
        <v>139</v>
      </c>
      <c r="C69" s="43">
        <v>0</v>
      </c>
      <c r="D69" s="43">
        <v>0</v>
      </c>
      <c r="E69" s="43">
        <v>0</v>
      </c>
      <c r="F69" s="43">
        <v>0</v>
      </c>
      <c r="G69" s="43">
        <v>0</v>
      </c>
      <c r="H69" s="43">
        <v>0</v>
      </c>
      <c r="I69" s="43">
        <v>0</v>
      </c>
      <c r="J69" s="43">
        <v>0</v>
      </c>
      <c r="K69" s="43">
        <v>0</v>
      </c>
      <c r="L69" s="43">
        <v>0</v>
      </c>
      <c r="M69" s="43"/>
      <c r="N69" s="43"/>
      <c r="O69" s="43"/>
      <c r="P69" s="44">
        <f>SUM(C69:O69)</f>
        <v>0</v>
      </c>
    </row>
    <row r="70" spans="1:16" customHeight="1" ht="12.75">
      <c r="A70" s="18" t="s">
        <v>140</v>
      </c>
      <c r="B70" s="4" t="s">
        <v>141</v>
      </c>
      <c r="C70" s="43">
        <v>0</v>
      </c>
      <c r="D70" s="43">
        <v>0</v>
      </c>
      <c r="E70" s="43">
        <v>0</v>
      </c>
      <c r="F70" s="43">
        <v>0</v>
      </c>
      <c r="G70" s="43">
        <v>0</v>
      </c>
      <c r="H70" s="43">
        <v>0</v>
      </c>
      <c r="I70" s="43">
        <v>0</v>
      </c>
      <c r="J70" s="43">
        <v>0</v>
      </c>
      <c r="K70" s="43">
        <v>0</v>
      </c>
      <c r="L70" s="43">
        <v>0</v>
      </c>
      <c r="M70" s="43"/>
      <c r="N70" s="43"/>
      <c r="O70" s="43"/>
      <c r="P70" s="44">
        <f>SUM(C70:O70)</f>
        <v>0</v>
      </c>
    </row>
    <row r="71" spans="1:16" customHeight="1" ht="12.75">
      <c r="A71" s="18" t="s">
        <v>142</v>
      </c>
      <c r="B71" s="4" t="s">
        <v>143</v>
      </c>
      <c r="C71" s="43">
        <v>0</v>
      </c>
      <c r="D71" s="43">
        <v>0</v>
      </c>
      <c r="E71" s="43">
        <v>0</v>
      </c>
      <c r="F71" s="43">
        <v>0</v>
      </c>
      <c r="G71" s="43">
        <v>0</v>
      </c>
      <c r="H71" s="43">
        <v>0</v>
      </c>
      <c r="I71" s="43">
        <v>0</v>
      </c>
      <c r="J71" s="43">
        <v>0</v>
      </c>
      <c r="K71" s="43">
        <v>0</v>
      </c>
      <c r="L71" s="43">
        <v>0</v>
      </c>
      <c r="M71" s="43"/>
      <c r="N71" s="43"/>
      <c r="O71" s="43"/>
      <c r="P71" s="44">
        <f>SUM(C71:O71)</f>
        <v>0</v>
      </c>
    </row>
    <row r="72" spans="1:16" customHeight="1" ht="12.75">
      <c r="A72" s="18">
        <v>2.3</v>
      </c>
      <c r="B72" s="4" t="s">
        <v>144</v>
      </c>
      <c r="C72" s="43"/>
      <c r="D72" s="43"/>
      <c r="E72" s="43"/>
      <c r="F72" s="43"/>
      <c r="G72" s="43"/>
      <c r="H72" s="43"/>
      <c r="I72" s="43"/>
      <c r="J72" s="43"/>
      <c r="K72" s="43"/>
      <c r="L72" s="43"/>
      <c r="M72" s="43"/>
      <c r="N72" s="43"/>
      <c r="O72" s="43"/>
      <c r="P72" s="44"/>
    </row>
    <row r="73" spans="1:16" customHeight="1" ht="12.75">
      <c r="A73" s="18" t="s">
        <v>145</v>
      </c>
      <c r="B73" s="4" t="s">
        <v>146</v>
      </c>
      <c r="C73" s="43">
        <v>1524.772</v>
      </c>
      <c r="D73" s="43">
        <v>0</v>
      </c>
      <c r="E73" s="43">
        <v>0</v>
      </c>
      <c r="F73" s="43">
        <v>0</v>
      </c>
      <c r="G73" s="43">
        <v>0</v>
      </c>
      <c r="H73" s="43">
        <v>0</v>
      </c>
      <c r="I73" s="43">
        <v>38</v>
      </c>
      <c r="J73" s="43">
        <v>0</v>
      </c>
      <c r="K73" s="43">
        <v>0</v>
      </c>
      <c r="L73" s="43">
        <v>0</v>
      </c>
      <c r="M73" s="43"/>
      <c r="N73" s="43"/>
      <c r="O73" s="43"/>
      <c r="P73" s="44">
        <f>SUM(C73:O73)</f>
        <v>1562.772</v>
      </c>
    </row>
    <row r="74" spans="1:16" customHeight="1" ht="12.75">
      <c r="A74" s="18" t="s">
        <v>147</v>
      </c>
      <c r="B74" s="4" t="s">
        <v>148</v>
      </c>
      <c r="C74" s="43">
        <v>30494.09888</v>
      </c>
      <c r="D74" s="43">
        <v>1159.126</v>
      </c>
      <c r="E74" s="43">
        <v>2759.458</v>
      </c>
      <c r="F74" s="43">
        <v>1248.952</v>
      </c>
      <c r="G74" s="43">
        <v>5617.4321</v>
      </c>
      <c r="H74" s="43">
        <v>1818.60733</v>
      </c>
      <c r="I74" s="43">
        <v>1558.47374</v>
      </c>
      <c r="J74" s="43">
        <v>5488.4011</v>
      </c>
      <c r="K74" s="43">
        <v>2385.17426</v>
      </c>
      <c r="L74" s="43">
        <v>2388.80595</v>
      </c>
      <c r="M74" s="43"/>
      <c r="N74" s="43"/>
      <c r="O74" s="43"/>
      <c r="P74" s="44">
        <f>SUM(C74:O74)</f>
        <v>54918.52936</v>
      </c>
    </row>
    <row r="75" spans="1:16" customHeight="1" ht="12.75">
      <c r="A75" s="18" t="s">
        <v>149</v>
      </c>
      <c r="B75" s="4" t="s">
        <v>150</v>
      </c>
      <c r="C75" s="43">
        <v>0</v>
      </c>
      <c r="D75" s="43">
        <v>0</v>
      </c>
      <c r="E75" s="43">
        <v>0</v>
      </c>
      <c r="F75" s="43">
        <v>0</v>
      </c>
      <c r="G75" s="43">
        <v>0</v>
      </c>
      <c r="H75" s="43">
        <v>0</v>
      </c>
      <c r="I75" s="43">
        <v>0</v>
      </c>
      <c r="J75" s="43">
        <v>0</v>
      </c>
      <c r="K75" s="43">
        <v>0</v>
      </c>
      <c r="L75" s="43">
        <v>0</v>
      </c>
      <c r="M75" s="43"/>
      <c r="N75" s="43"/>
      <c r="O75" s="43"/>
      <c r="P75" s="44">
        <f>SUM(C75:O75)</f>
        <v>0</v>
      </c>
    </row>
    <row r="76" spans="1:16" customHeight="1" ht="12.75">
      <c r="A76" s="18" t="s">
        <v>151</v>
      </c>
      <c r="B76" s="4" t="s">
        <v>152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/>
      <c r="N76" s="43"/>
      <c r="O76" s="43"/>
      <c r="P76" s="44">
        <f>SUM(C76:O76)</f>
        <v>0</v>
      </c>
    </row>
    <row r="77" spans="1:16" customHeight="1" ht="12.75">
      <c r="A77" s="18" t="s">
        <v>153</v>
      </c>
      <c r="B77" s="4" t="s">
        <v>154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/>
      <c r="N77" s="43"/>
      <c r="O77" s="43"/>
      <c r="P77" s="44">
        <f>SUM(C77:O77)</f>
        <v>0</v>
      </c>
    </row>
    <row r="78" spans="1:16" customHeight="1" ht="12.75">
      <c r="A78" s="18" t="s">
        <v>155</v>
      </c>
      <c r="B78" s="4" t="s">
        <v>156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/>
      <c r="N78" s="43"/>
      <c r="O78" s="43"/>
      <c r="P78" s="44">
        <f>SUM(C78:O78)</f>
        <v>0</v>
      </c>
    </row>
    <row r="79" spans="1:16" customHeight="1" ht="12.75">
      <c r="A79" s="18" t="s">
        <v>157</v>
      </c>
      <c r="B79" s="4" t="s">
        <v>158</v>
      </c>
      <c r="C79" s="43">
        <v>0</v>
      </c>
      <c r="D79" s="43">
        <v>0</v>
      </c>
      <c r="E79" s="43">
        <v>0</v>
      </c>
      <c r="F79" s="43">
        <v>0</v>
      </c>
      <c r="G79" s="43">
        <v>0</v>
      </c>
      <c r="H79" s="43">
        <v>0</v>
      </c>
      <c r="I79" s="43">
        <v>0</v>
      </c>
      <c r="J79" s="43">
        <v>0</v>
      </c>
      <c r="K79" s="43">
        <v>0</v>
      </c>
      <c r="L79" s="43">
        <v>0</v>
      </c>
      <c r="M79" s="43"/>
      <c r="N79" s="43"/>
      <c r="O79" s="43"/>
      <c r="P79" s="44">
        <f>SUM(C79:O79)</f>
        <v>0</v>
      </c>
    </row>
    <row r="80" spans="1:16" customHeight="1" ht="12.75">
      <c r="A80" s="18" t="s">
        <v>159</v>
      </c>
      <c r="B80" s="4" t="s">
        <v>160</v>
      </c>
      <c r="C80" s="43">
        <v>0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0</v>
      </c>
      <c r="L80" s="43">
        <v>0</v>
      </c>
      <c r="M80" s="43"/>
      <c r="N80" s="43"/>
      <c r="O80" s="43"/>
      <c r="P80" s="44">
        <f>SUM(C80:O80)</f>
        <v>0</v>
      </c>
    </row>
    <row r="81" spans="1:16" customHeight="1" ht="12.75">
      <c r="A81" s="18" t="s">
        <v>161</v>
      </c>
      <c r="B81" s="4" t="s">
        <v>162</v>
      </c>
      <c r="C81" s="43">
        <v>0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0</v>
      </c>
      <c r="L81" s="43">
        <v>0</v>
      </c>
      <c r="M81" s="43"/>
      <c r="N81" s="43"/>
      <c r="O81" s="43"/>
      <c r="P81" s="44">
        <f>SUM(C81:O81)</f>
        <v>0</v>
      </c>
    </row>
    <row r="82" spans="1:16" customHeight="1" ht="12.75">
      <c r="A82" s="18">
        <v>2.4</v>
      </c>
      <c r="B82" s="4" t="s">
        <v>163</v>
      </c>
      <c r="C82" s="43"/>
      <c r="D82" s="43"/>
      <c r="E82" s="43"/>
      <c r="F82" s="43"/>
      <c r="G82" s="43"/>
      <c r="H82" s="43"/>
      <c r="I82" s="43"/>
      <c r="J82" s="43"/>
      <c r="K82" s="43"/>
      <c r="L82" s="43"/>
      <c r="M82" s="43"/>
      <c r="N82" s="43"/>
      <c r="O82" s="43"/>
      <c r="P82" s="44"/>
    </row>
    <row r="83" spans="1:16" customHeight="1" ht="12.75">
      <c r="A83" s="18" t="s">
        <v>164</v>
      </c>
      <c r="B83" s="4" t="s">
        <v>165</v>
      </c>
      <c r="C83" s="43">
        <v>429346.4591</v>
      </c>
      <c r="D83" s="43">
        <v>7532.53419</v>
      </c>
      <c r="E83" s="43">
        <v>5101.51874</v>
      </c>
      <c r="F83" s="43">
        <v>3405.08719</v>
      </c>
      <c r="G83" s="43">
        <v>8217.33867</v>
      </c>
      <c r="H83" s="43">
        <v>2442.50466</v>
      </c>
      <c r="I83" s="43">
        <v>5102.17757</v>
      </c>
      <c r="J83" s="43">
        <v>5246.69999</v>
      </c>
      <c r="K83" s="43">
        <v>8129.27831</v>
      </c>
      <c r="L83" s="43">
        <v>11228.48769</v>
      </c>
      <c r="M83" s="43"/>
      <c r="N83" s="43"/>
      <c r="O83" s="43"/>
      <c r="P83" s="44">
        <f>SUM(C83:O83)</f>
        <v>485752.08611</v>
      </c>
    </row>
    <row r="84" spans="1:16" customHeight="1" ht="12.75">
      <c r="A84" s="18" t="s">
        <v>166</v>
      </c>
      <c r="B84" s="4" t="s">
        <v>167</v>
      </c>
      <c r="C84" s="43">
        <v>30448.89678</v>
      </c>
      <c r="D84" s="43">
        <v>22.78715</v>
      </c>
      <c r="E84" s="43">
        <v>507.33331</v>
      </c>
      <c r="F84" s="43">
        <v>2099.03806</v>
      </c>
      <c r="G84" s="43">
        <v>3868.4303</v>
      </c>
      <c r="H84" s="43">
        <v>1552.81475</v>
      </c>
      <c r="I84" s="43">
        <v>960.55857</v>
      </c>
      <c r="J84" s="43">
        <v>2327.0758</v>
      </c>
      <c r="K84" s="43">
        <v>670.11472</v>
      </c>
      <c r="L84" s="43">
        <v>1957.80642</v>
      </c>
      <c r="M84" s="43"/>
      <c r="N84" s="43"/>
      <c r="O84" s="43"/>
      <c r="P84" s="44">
        <f>SUM(C84:O84)</f>
        <v>44414.85586</v>
      </c>
    </row>
    <row r="85" spans="1:16" customHeight="1" ht="12.75">
      <c r="A85" s="18" t="s">
        <v>168</v>
      </c>
      <c r="B85" s="4" t="s">
        <v>169</v>
      </c>
      <c r="C85" s="43">
        <v>0</v>
      </c>
      <c r="D85" s="43">
        <v>0</v>
      </c>
      <c r="E85" s="43">
        <v>0</v>
      </c>
      <c r="F85" s="43">
        <v>0</v>
      </c>
      <c r="G85" s="43">
        <v>0</v>
      </c>
      <c r="H85" s="43">
        <v>0</v>
      </c>
      <c r="I85" s="43">
        <v>0</v>
      </c>
      <c r="J85" s="43">
        <v>0</v>
      </c>
      <c r="K85" s="43">
        <v>0</v>
      </c>
      <c r="L85" s="43">
        <v>0</v>
      </c>
      <c r="M85" s="43"/>
      <c r="N85" s="43"/>
      <c r="O85" s="43"/>
      <c r="P85" s="44">
        <f>SUM(C85:O85)</f>
        <v>0</v>
      </c>
    </row>
    <row r="86" spans="1:16" customHeight="1" ht="12.75">
      <c r="A86" s="18" t="s">
        <v>170</v>
      </c>
      <c r="B86" s="4" t="s">
        <v>171</v>
      </c>
      <c r="C86" s="43">
        <v>124684.90819</v>
      </c>
      <c r="D86" s="43">
        <v>3436.0979</v>
      </c>
      <c r="E86" s="43">
        <v>1511.956</v>
      </c>
      <c r="F86" s="43">
        <v>1586.6811</v>
      </c>
      <c r="G86" s="43">
        <v>948.416</v>
      </c>
      <c r="H86" s="43">
        <v>5957.40075</v>
      </c>
      <c r="I86" s="43">
        <v>635.6519</v>
      </c>
      <c r="J86" s="43">
        <v>335.193</v>
      </c>
      <c r="K86" s="43">
        <v>704.1746</v>
      </c>
      <c r="L86" s="43">
        <v>-709.48256</v>
      </c>
      <c r="M86" s="43"/>
      <c r="N86" s="43"/>
      <c r="O86" s="43"/>
      <c r="P86" s="44">
        <f>SUM(C86:O86)</f>
        <v>139090.99688</v>
      </c>
    </row>
    <row r="87" spans="1:16" customHeight="1" ht="12.75">
      <c r="A87" s="18" t="s">
        <v>172</v>
      </c>
      <c r="B87" s="4" t="s">
        <v>173</v>
      </c>
      <c r="C87" s="43">
        <v>583.239</v>
      </c>
      <c r="D87" s="43">
        <v>0</v>
      </c>
      <c r="E87" s="43">
        <v>0</v>
      </c>
      <c r="F87" s="43">
        <v>0</v>
      </c>
      <c r="G87" s="43">
        <v>0</v>
      </c>
      <c r="H87" s="43">
        <v>0</v>
      </c>
      <c r="I87" s="43">
        <v>0</v>
      </c>
      <c r="J87" s="43">
        <v>0</v>
      </c>
      <c r="K87" s="43">
        <v>0</v>
      </c>
      <c r="L87" s="43">
        <v>0</v>
      </c>
      <c r="M87" s="43"/>
      <c r="N87" s="43"/>
      <c r="O87" s="43"/>
      <c r="P87" s="44">
        <f>SUM(C87:O87)</f>
        <v>583.239</v>
      </c>
    </row>
    <row r="88" spans="1:16" customHeight="1" ht="12.75">
      <c r="A88" s="18" t="s">
        <v>174</v>
      </c>
      <c r="B88" s="4" t="s">
        <v>175</v>
      </c>
      <c r="C88" s="43">
        <v>-33677.24687</v>
      </c>
      <c r="D88" s="43">
        <v>-105.53214</v>
      </c>
      <c r="E88" s="43">
        <v>-352.29186</v>
      </c>
      <c r="F88" s="43">
        <v>-445.03899</v>
      </c>
      <c r="G88" s="43">
        <v>-587.42918</v>
      </c>
      <c r="H88" s="43">
        <v>-202.81841</v>
      </c>
      <c r="I88" s="43">
        <v>-223.89364</v>
      </c>
      <c r="J88" s="43">
        <v>270.75475</v>
      </c>
      <c r="K88" s="43">
        <v>-639.06761</v>
      </c>
      <c r="L88" s="43">
        <v>-417.62904</v>
      </c>
      <c r="M88" s="43"/>
      <c r="N88" s="43"/>
      <c r="O88" s="43"/>
      <c r="P88" s="44">
        <f>SUM(C88:O88)</f>
        <v>-36380.19299</v>
      </c>
    </row>
    <row r="89" spans="1:16" customHeight="1" ht="12.75">
      <c r="A89" s="18" t="s">
        <v>176</v>
      </c>
      <c r="B89" s="4" t="s">
        <v>177</v>
      </c>
      <c r="C89" s="43">
        <v>0</v>
      </c>
      <c r="D89" s="43">
        <v>0</v>
      </c>
      <c r="E89" s="43">
        <v>0</v>
      </c>
      <c r="F89" s="43">
        <v>0</v>
      </c>
      <c r="G89" s="43">
        <v>0</v>
      </c>
      <c r="H89" s="43">
        <v>0</v>
      </c>
      <c r="I89" s="43">
        <v>0</v>
      </c>
      <c r="J89" s="43">
        <v>0</v>
      </c>
      <c r="K89" s="43">
        <v>0</v>
      </c>
      <c r="L89" s="43">
        <v>0</v>
      </c>
      <c r="M89" s="43"/>
      <c r="N89" s="43"/>
      <c r="O89" s="43"/>
      <c r="P89" s="44">
        <f>SUM(C89:O89)</f>
        <v>0</v>
      </c>
    </row>
    <row r="90" spans="1:16" customHeight="1" ht="12.75">
      <c r="A90" s="18" t="s">
        <v>178</v>
      </c>
      <c r="B90" s="4" t="s">
        <v>179</v>
      </c>
      <c r="C90" s="43">
        <v>-9802.75548</v>
      </c>
      <c r="D90" s="43">
        <v>0</v>
      </c>
      <c r="E90" s="43">
        <v>0</v>
      </c>
      <c r="F90" s="43">
        <v>0</v>
      </c>
      <c r="G90" s="43">
        <v>-1407.1728</v>
      </c>
      <c r="H90" s="43">
        <v>0</v>
      </c>
      <c r="I90" s="43">
        <v>0</v>
      </c>
      <c r="J90" s="43">
        <v>0</v>
      </c>
      <c r="K90" s="43">
        <v>0</v>
      </c>
      <c r="L90" s="43">
        <v>-341.35145</v>
      </c>
      <c r="M90" s="43"/>
      <c r="N90" s="43"/>
      <c r="O90" s="43"/>
      <c r="P90" s="44">
        <f>SUM(C90:O90)</f>
        <v>-11551.27973</v>
      </c>
    </row>
    <row r="91" spans="1:16" customHeight="1" ht="12.75">
      <c r="A91" s="18" t="s">
        <v>180</v>
      </c>
      <c r="B91" s="4" t="s">
        <v>181</v>
      </c>
      <c r="C91" s="43">
        <v>0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/>
      <c r="N91" s="43"/>
      <c r="O91" s="43"/>
      <c r="P91" s="44">
        <f>SUM(C91:O91)</f>
        <v>0</v>
      </c>
    </row>
    <row r="92" spans="1:16" customHeight="1" ht="12.75">
      <c r="A92" s="18">
        <v>2.5</v>
      </c>
      <c r="B92" s="4" t="s">
        <v>182</v>
      </c>
      <c r="C92" s="43">
        <v>6800.12896</v>
      </c>
      <c r="D92" s="43">
        <v>8137.62869</v>
      </c>
      <c r="E92" s="43">
        <v>5527.9478</v>
      </c>
      <c r="F92" s="43">
        <v>4887.97384</v>
      </c>
      <c r="G92" s="43">
        <v>5141.2916</v>
      </c>
      <c r="H92" s="43">
        <v>88516.54632</v>
      </c>
      <c r="I92" s="43">
        <v>9999.79031</v>
      </c>
      <c r="J92" s="43">
        <v>5739.738</v>
      </c>
      <c r="K92" s="43">
        <v>5962.52063</v>
      </c>
      <c r="L92" s="43">
        <v>7227.2464</v>
      </c>
      <c r="M92" s="43"/>
      <c r="N92" s="43"/>
      <c r="O92" s="43"/>
      <c r="P92" s="44">
        <f>SUM(C92:O92)</f>
        <v>147940.81255</v>
      </c>
    </row>
    <row r="93" spans="1:16" customHeight="1" ht="12.75">
      <c r="A93" s="18">
        <v>2.6</v>
      </c>
      <c r="B93" s="4" t="s">
        <v>183</v>
      </c>
      <c r="C93" s="43"/>
      <c r="D93" s="43"/>
      <c r="E93" s="43"/>
      <c r="F93" s="43"/>
      <c r="G93" s="43"/>
      <c r="H93" s="43"/>
      <c r="I93" s="43"/>
      <c r="J93" s="43"/>
      <c r="K93" s="43"/>
      <c r="L93" s="43"/>
      <c r="M93" s="43"/>
      <c r="N93" s="43"/>
      <c r="O93" s="43"/>
      <c r="P93" s="44"/>
    </row>
    <row r="94" spans="1:16" customHeight="1" ht="12.75">
      <c r="A94" s="18" t="s">
        <v>184</v>
      </c>
      <c r="B94" s="4" t="s">
        <v>185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/>
      <c r="N94" s="43"/>
      <c r="O94" s="43"/>
      <c r="P94" s="44">
        <f>SUM(C94:O94)</f>
        <v>0</v>
      </c>
    </row>
    <row r="95" spans="1:16" customHeight="1" ht="12.75">
      <c r="A95" s="18" t="s">
        <v>186</v>
      </c>
      <c r="B95" s="4" t="s">
        <v>187</v>
      </c>
      <c r="C95" s="43">
        <v>0</v>
      </c>
      <c r="D95" s="43">
        <v>0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/>
      <c r="N95" s="43"/>
      <c r="O95" s="43"/>
      <c r="P95" s="44">
        <f>SUM(C95:O95)</f>
        <v>0</v>
      </c>
    </row>
    <row r="96" spans="1:16" customHeight="1" ht="12.75">
      <c r="A96" s="18">
        <v>2.7</v>
      </c>
      <c r="B96" s="4" t="s">
        <v>188</v>
      </c>
      <c r="C96" s="43">
        <v>0</v>
      </c>
      <c r="D96" s="43">
        <v>0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/>
      <c r="N96" s="43"/>
      <c r="O96" s="43"/>
      <c r="P96" s="44">
        <f>SUM(C96:O96)</f>
        <v>0</v>
      </c>
    </row>
    <row r="97" spans="1:16" customHeight="1" ht="12.75">
      <c r="A97" s="18">
        <v>2.8</v>
      </c>
      <c r="B97" s="4" t="s">
        <v>189</v>
      </c>
      <c r="C97" s="43">
        <v>0</v>
      </c>
      <c r="D97" s="43">
        <v>0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/>
      <c r="N97" s="43"/>
      <c r="O97" s="43"/>
      <c r="P97" s="44">
        <f>SUM(C97:O97)</f>
        <v>0</v>
      </c>
    </row>
    <row r="98" spans="1:16" customHeight="1" ht="12.75">
      <c r="A98" s="18">
        <v>2.9</v>
      </c>
      <c r="B98" s="4" t="s">
        <v>190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0</v>
      </c>
      <c r="J98" s="43">
        <v>0</v>
      </c>
      <c r="K98" s="43">
        <v>0</v>
      </c>
      <c r="L98" s="43">
        <v>0</v>
      </c>
      <c r="M98" s="43"/>
      <c r="N98" s="43"/>
      <c r="O98" s="43"/>
      <c r="P98" s="44">
        <f>SUM(C98:O98)</f>
        <v>0</v>
      </c>
    </row>
    <row r="99" spans="1:16" customHeight="1" ht="12.75">
      <c r="A99" s="18" t="s">
        <v>191</v>
      </c>
      <c r="B99" s="4" t="s">
        <v>192</v>
      </c>
      <c r="C99" s="43">
        <v>0</v>
      </c>
      <c r="D99" s="43">
        <v>0</v>
      </c>
      <c r="E99" s="43">
        <v>0</v>
      </c>
      <c r="F99" s="43">
        <v>0</v>
      </c>
      <c r="G99" s="43">
        <v>0</v>
      </c>
      <c r="H99" s="43">
        <v>0</v>
      </c>
      <c r="I99" s="43">
        <v>0</v>
      </c>
      <c r="J99" s="43">
        <v>0</v>
      </c>
      <c r="K99" s="43">
        <v>0</v>
      </c>
      <c r="L99" s="43">
        <v>0</v>
      </c>
      <c r="M99" s="43"/>
      <c r="N99" s="43"/>
      <c r="O99" s="43"/>
      <c r="P99" s="44">
        <f>SUM(C99:O99)</f>
        <v>0</v>
      </c>
    </row>
    <row r="100" spans="1:16" customHeight="1" ht="12.75">
      <c r="A100" s="18">
        <v>2.11</v>
      </c>
      <c r="B100" s="4" t="s">
        <v>193</v>
      </c>
      <c r="C100" s="43"/>
      <c r="D100" s="43"/>
      <c r="E100" s="43"/>
      <c r="F100" s="43"/>
      <c r="G100" s="43"/>
      <c r="H100" s="43"/>
      <c r="I100" s="43"/>
      <c r="J100" s="43"/>
      <c r="K100" s="43"/>
      <c r="L100" s="43"/>
      <c r="M100" s="43"/>
      <c r="N100" s="43"/>
      <c r="O100" s="43"/>
      <c r="P100" s="44"/>
    </row>
    <row r="101" spans="1:16" customHeight="1" ht="12.75">
      <c r="A101" s="18" t="s">
        <v>194</v>
      </c>
      <c r="B101" s="4" t="s">
        <v>195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/>
      <c r="N101" s="43"/>
      <c r="O101" s="43"/>
      <c r="P101" s="44">
        <f>SUM(C101:O101)</f>
        <v>0</v>
      </c>
    </row>
    <row r="102" spans="1:16" customHeight="1" ht="12.75">
      <c r="A102" s="18" t="s">
        <v>196</v>
      </c>
      <c r="B102" s="4" t="s">
        <v>197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/>
      <c r="N102" s="43"/>
      <c r="O102" s="43"/>
      <c r="P102" s="44">
        <f>SUM(C102:O102)</f>
        <v>0</v>
      </c>
    </row>
    <row r="103" spans="1:16" customHeight="1" ht="12.75">
      <c r="A103" s="18" t="s">
        <v>198</v>
      </c>
      <c r="B103" s="4" t="s">
        <v>199</v>
      </c>
      <c r="C103" s="43">
        <v>0</v>
      </c>
      <c r="D103" s="43">
        <v>0</v>
      </c>
      <c r="E103" s="43">
        <v>0</v>
      </c>
      <c r="F103" s="43">
        <v>0</v>
      </c>
      <c r="G103" s="43">
        <v>0</v>
      </c>
      <c r="H103" s="43">
        <v>0</v>
      </c>
      <c r="I103" s="43">
        <v>0</v>
      </c>
      <c r="J103" s="43">
        <v>0</v>
      </c>
      <c r="K103" s="43">
        <v>0</v>
      </c>
      <c r="L103" s="43">
        <v>0</v>
      </c>
      <c r="M103" s="43"/>
      <c r="N103" s="43"/>
      <c r="O103" s="43"/>
      <c r="P103" s="44">
        <f>SUM(C103:O103)</f>
        <v>0</v>
      </c>
    </row>
    <row r="104" spans="1:16" customHeight="1" ht="12.75">
      <c r="A104" s="18">
        <v>2.12</v>
      </c>
      <c r="B104" s="4" t="s">
        <v>200</v>
      </c>
      <c r="C104" s="43">
        <v>0</v>
      </c>
      <c r="D104" s="43">
        <v>0</v>
      </c>
      <c r="E104" s="43">
        <v>0</v>
      </c>
      <c r="F104" s="43">
        <v>0</v>
      </c>
      <c r="G104" s="43">
        <v>0</v>
      </c>
      <c r="H104" s="43">
        <v>0</v>
      </c>
      <c r="I104" s="43">
        <v>0</v>
      </c>
      <c r="J104" s="43">
        <v>0</v>
      </c>
      <c r="K104" s="43">
        <v>0</v>
      </c>
      <c r="L104" s="43">
        <v>0</v>
      </c>
      <c r="M104" s="43"/>
      <c r="N104" s="43"/>
      <c r="O104" s="43"/>
      <c r="P104" s="44">
        <f>SUM(C104:O104)</f>
        <v>0</v>
      </c>
    </row>
    <row r="105" spans="1:16" customHeight="1" ht="12.75">
      <c r="A105" s="18">
        <v>2.13</v>
      </c>
      <c r="B105" s="4" t="s">
        <v>201</v>
      </c>
      <c r="C105" s="43">
        <v>0</v>
      </c>
      <c r="D105" s="43">
        <v>0</v>
      </c>
      <c r="E105" s="43">
        <v>0</v>
      </c>
      <c r="F105" s="43">
        <v>0</v>
      </c>
      <c r="G105" s="43">
        <v>0</v>
      </c>
      <c r="H105" s="43">
        <v>0</v>
      </c>
      <c r="I105" s="43">
        <v>0</v>
      </c>
      <c r="J105" s="43">
        <v>0</v>
      </c>
      <c r="K105" s="43">
        <v>0</v>
      </c>
      <c r="L105" s="43">
        <v>0</v>
      </c>
      <c r="M105" s="43"/>
      <c r="N105" s="43"/>
      <c r="O105" s="43"/>
      <c r="P105" s="44">
        <f>SUM(C105:O105)</f>
        <v>0</v>
      </c>
    </row>
    <row r="106" spans="1:16" customHeight="1" ht="12.75">
      <c r="A106" s="19">
        <v>2.14</v>
      </c>
      <c r="B106" s="5" t="s">
        <v>202</v>
      </c>
      <c r="C106" s="45">
        <v>0</v>
      </c>
      <c r="D106" s="45">
        <v>0</v>
      </c>
      <c r="E106" s="45">
        <v>0</v>
      </c>
      <c r="F106" s="45">
        <v>0</v>
      </c>
      <c r="G106" s="45">
        <v>0</v>
      </c>
      <c r="H106" s="45">
        <v>0</v>
      </c>
      <c r="I106" s="45">
        <v>0</v>
      </c>
      <c r="J106" s="45">
        <v>0</v>
      </c>
      <c r="K106" s="45">
        <v>0</v>
      </c>
      <c r="L106" s="45">
        <v>0</v>
      </c>
      <c r="M106" s="45"/>
      <c r="N106" s="45"/>
      <c r="O106" s="45"/>
      <c r="P106" s="46">
        <f>SUM(C106:O106)</f>
        <v>0</v>
      </c>
    </row>
    <row r="107" spans="1:16" customHeight="1" ht="12.75">
      <c r="A107" s="20"/>
      <c r="B107" s="15" t="s">
        <v>203</v>
      </c>
      <c r="C107" s="47">
        <f>SUM(C38:C106)</f>
        <v>936616.53227</v>
      </c>
      <c r="D107" s="47">
        <f>SUM(D38:D106)</f>
        <v>28612.66736</v>
      </c>
      <c r="E107" s="47">
        <f>SUM(E38:E106)</f>
        <v>24350.13063</v>
      </c>
      <c r="F107" s="47">
        <f>SUM(F38:F106)</f>
        <v>19343.99174</v>
      </c>
      <c r="G107" s="47">
        <f>SUM(G38:G106)</f>
        <v>27145.0606</v>
      </c>
      <c r="H107" s="47">
        <f>SUM(H38:H106)</f>
        <v>17521.99494</v>
      </c>
      <c r="I107" s="47">
        <f>SUM(I38:I106)</f>
        <v>19182.10962</v>
      </c>
      <c r="J107" s="47">
        <f>SUM(J38:J106)</f>
        <v>24309.46774</v>
      </c>
      <c r="K107" s="47">
        <f>SUM(K38:K106)</f>
        <v>23125.66394</v>
      </c>
      <c r="L107" s="47">
        <f>SUM(L38:L106)</f>
        <v>29250.15767</v>
      </c>
      <c r="M107" s="47">
        <f>SUM(M38:M106)</f>
        <v>0</v>
      </c>
      <c r="N107" s="47">
        <f>SUM(N38:N106)</f>
        <v>0</v>
      </c>
      <c r="O107" s="47">
        <f>SUM(O38:O106)</f>
        <v>0</v>
      </c>
      <c r="P107" s="48">
        <f>SUM(P38:P106)</f>
        <v>1149457.77651</v>
      </c>
    </row>
    <row r="108" spans="1:16" customHeight="1" ht="12.75">
      <c r="A108" s="18"/>
      <c r="B108" s="4"/>
      <c r="C108" s="43"/>
      <c r="D108" s="43"/>
      <c r="E108" s="43"/>
      <c r="F108" s="43"/>
      <c r="G108" s="43"/>
      <c r="H108" s="43"/>
      <c r="I108" s="43"/>
      <c r="J108" s="43"/>
      <c r="K108" s="43"/>
      <c r="L108" s="43"/>
      <c r="M108" s="43"/>
      <c r="N108" s="43"/>
      <c r="O108" s="43"/>
      <c r="P108" s="44"/>
    </row>
    <row r="109" spans="1:16" customHeight="1" ht="12.75">
      <c r="A109" s="21">
        <v>3.0</v>
      </c>
      <c r="B109" s="6" t="s">
        <v>204</v>
      </c>
      <c r="C109" s="49">
        <f>C36-C107</f>
        <v>25225.3692</v>
      </c>
      <c r="D109" s="49">
        <f>D36-D107</f>
        <v>-8768.57736</v>
      </c>
      <c r="E109" s="49">
        <f>E36-E107</f>
        <v>-14078.13063</v>
      </c>
      <c r="F109" s="49">
        <f>F36-F107</f>
        <v>-6695.87781</v>
      </c>
      <c r="G109" s="49">
        <f>G36-G107</f>
        <v>-11121.58372</v>
      </c>
      <c r="H109" s="49">
        <f>H36-H107</f>
        <v>-10504.46494</v>
      </c>
      <c r="I109" s="49">
        <f>I36-I107</f>
        <v>-13441.10962</v>
      </c>
      <c r="J109" s="49">
        <f>J36-J107</f>
        <v>-23481.72774</v>
      </c>
      <c r="K109" s="49">
        <f>K36-K107</f>
        <v>-11049.59101</v>
      </c>
      <c r="L109" s="49">
        <f>L36-L107</f>
        <v>-18235.14564</v>
      </c>
      <c r="M109" s="49"/>
      <c r="N109" s="49"/>
      <c r="O109" s="49"/>
      <c r="P109" s="50">
        <f>P36-P107</f>
        <v>-92150.83927</v>
      </c>
    </row>
    <row r="110" spans="1:16" customHeight="1" ht="12.75">
      <c r="A110" s="18"/>
      <c r="B110" s="4"/>
      <c r="C110" s="43"/>
      <c r="D110" s="43"/>
      <c r="E110" s="43"/>
      <c r="F110" s="43"/>
      <c r="G110" s="43"/>
      <c r="H110" s="43"/>
      <c r="I110" s="43"/>
      <c r="J110" s="43"/>
      <c r="K110" s="43"/>
      <c r="L110" s="43"/>
      <c r="M110" s="43"/>
      <c r="N110" s="43"/>
      <c r="O110" s="43"/>
      <c r="P110" s="44"/>
    </row>
    <row r="111" spans="1:16" customHeight="1" ht="12.75">
      <c r="A111" s="18">
        <v>4.0</v>
      </c>
      <c r="B111" s="4" t="s">
        <v>205</v>
      </c>
      <c r="C111" s="43"/>
      <c r="D111" s="43"/>
      <c r="E111" s="43"/>
      <c r="F111" s="43"/>
      <c r="G111" s="43"/>
      <c r="H111" s="43"/>
      <c r="I111" s="43"/>
      <c r="J111" s="43"/>
      <c r="K111" s="43"/>
      <c r="L111" s="43"/>
      <c r="M111" s="43"/>
      <c r="N111" s="43"/>
      <c r="O111" s="43"/>
      <c r="P111" s="44"/>
    </row>
    <row r="112" spans="1:16" customHeight="1" ht="12.75">
      <c r="A112" s="18"/>
      <c r="B112" s="4" t="s">
        <v>206</v>
      </c>
      <c r="C112" s="43"/>
      <c r="D112" s="43"/>
      <c r="E112" s="43"/>
      <c r="F112" s="43"/>
      <c r="G112" s="43"/>
      <c r="H112" s="43"/>
      <c r="I112" s="43"/>
      <c r="J112" s="43"/>
      <c r="K112" s="43"/>
      <c r="L112" s="43"/>
      <c r="M112" s="43"/>
      <c r="N112" s="43"/>
      <c r="O112" s="43"/>
      <c r="P112" s="44"/>
    </row>
    <row r="113" spans="1:16" customHeight="1" ht="12.75">
      <c r="A113" s="18">
        <v>2.1</v>
      </c>
      <c r="B113" s="4" t="s">
        <v>80</v>
      </c>
      <c r="C113" s="43"/>
      <c r="D113" s="43"/>
      <c r="E113" s="43"/>
      <c r="F113" s="43"/>
      <c r="G113" s="43"/>
      <c r="H113" s="43"/>
      <c r="I113" s="43"/>
      <c r="J113" s="43"/>
      <c r="K113" s="43"/>
      <c r="L113" s="43"/>
      <c r="M113" s="43"/>
      <c r="N113" s="43"/>
      <c r="O113" s="43"/>
      <c r="P113" s="44"/>
    </row>
    <row r="114" spans="1:16" customHeight="1" ht="12.75">
      <c r="A114" s="18" t="s">
        <v>93</v>
      </c>
      <c r="B114" s="4" t="s">
        <v>207</v>
      </c>
      <c r="C114" s="43">
        <f>C46*-1</f>
        <v>0</v>
      </c>
      <c r="D114" s="43">
        <f>D46*-1</f>
        <v>0</v>
      </c>
      <c r="E114" s="43">
        <f>E46*-1</f>
        <v>0</v>
      </c>
      <c r="F114" s="43">
        <f>F46*-1</f>
        <v>0</v>
      </c>
      <c r="G114" s="43">
        <f>G46*-1</f>
        <v>0</v>
      </c>
      <c r="H114" s="43">
        <f>H46*-1</f>
        <v>0</v>
      </c>
      <c r="I114" s="43">
        <f>I46*-1</f>
        <v>0</v>
      </c>
      <c r="J114" s="43">
        <f>J46*-1</f>
        <v>0</v>
      </c>
      <c r="K114" s="43">
        <f>K46*-1</f>
        <v>0</v>
      </c>
      <c r="L114" s="43">
        <f>L46*-1</f>
        <v>0</v>
      </c>
      <c r="M114" s="43"/>
      <c r="N114" s="43"/>
      <c r="O114" s="43"/>
      <c r="P114" s="44">
        <f>P46*-1</f>
        <v>0</v>
      </c>
    </row>
    <row r="115" spans="1:16" customHeight="1" ht="12.75">
      <c r="A115" s="18">
        <v>2.3</v>
      </c>
      <c r="B115" s="4" t="s">
        <v>144</v>
      </c>
      <c r="C115" s="43"/>
      <c r="D115" s="43"/>
      <c r="E115" s="43"/>
      <c r="F115" s="43"/>
      <c r="G115" s="43"/>
      <c r="H115" s="43"/>
      <c r="I115" s="43"/>
      <c r="J115" s="43"/>
      <c r="K115" s="43"/>
      <c r="L115" s="43"/>
      <c r="M115" s="43"/>
      <c r="N115" s="43"/>
      <c r="O115" s="43"/>
      <c r="P115" s="44"/>
    </row>
    <row r="116" spans="1:16" customHeight="1" ht="12.75">
      <c r="A116" s="18" t="s">
        <v>157</v>
      </c>
      <c r="B116" s="4" t="s">
        <v>208</v>
      </c>
      <c r="C116" s="43">
        <f>C79*-1</f>
        <v>0</v>
      </c>
      <c r="D116" s="43">
        <f>D79*-1</f>
        <v>0</v>
      </c>
      <c r="E116" s="43">
        <f>E79*-1</f>
        <v>0</v>
      </c>
      <c r="F116" s="43">
        <f>F79*-1</f>
        <v>0</v>
      </c>
      <c r="G116" s="43">
        <f>G79*-1</f>
        <v>0</v>
      </c>
      <c r="H116" s="43">
        <f>H79*-1</f>
        <v>0</v>
      </c>
      <c r="I116" s="43">
        <f>I79*-1</f>
        <v>0</v>
      </c>
      <c r="J116" s="43">
        <f>J79*-1</f>
        <v>0</v>
      </c>
      <c r="K116" s="43">
        <f>K79*-1</f>
        <v>0</v>
      </c>
      <c r="L116" s="43">
        <f>L79*-1</f>
        <v>0</v>
      </c>
      <c r="M116" s="43"/>
      <c r="N116" s="43"/>
      <c r="O116" s="43"/>
      <c r="P116" s="44">
        <f>P79*-1</f>
        <v>0</v>
      </c>
    </row>
    <row r="117" spans="1:16" customHeight="1" ht="12.75">
      <c r="A117" s="18"/>
      <c r="B117" s="4"/>
      <c r="C117" s="43"/>
      <c r="D117" s="43"/>
      <c r="E117" s="43"/>
      <c r="F117" s="43"/>
      <c r="G117" s="43"/>
      <c r="H117" s="43"/>
      <c r="I117" s="43"/>
      <c r="J117" s="43"/>
      <c r="K117" s="43"/>
      <c r="L117" s="43"/>
      <c r="M117" s="43"/>
      <c r="N117" s="43"/>
      <c r="O117" s="43"/>
      <c r="P117" s="44"/>
    </row>
    <row r="118" spans="1:16" customHeight="1" ht="12.75">
      <c r="A118" s="19">
        <v>4.1</v>
      </c>
      <c r="B118" s="5" t="s">
        <v>209</v>
      </c>
      <c r="C118" s="45">
        <v>-5431.25218833</v>
      </c>
      <c r="D118" s="45">
        <f>(D109-SUM(D111:D116)-D125-D126+D127)*-0.05/12</f>
        <v>56.052715269124</v>
      </c>
      <c r="E118" s="45">
        <f>(E109-SUM(E111:E116)-E125-E126+E127)*-0.05/12</f>
        <v>116.48594587441</v>
      </c>
      <c r="F118" s="45">
        <f>(F109-SUM(F111:F116)-F125-F126+F127)*-0.05/12</f>
        <v>146.76801194672</v>
      </c>
      <c r="G118" s="45">
        <f>(G109-SUM(G111:G116)-G125-G126+G127)*-0.05/12</f>
        <v>198.1259336385</v>
      </c>
      <c r="H118" s="45">
        <f>(H109-SUM(H111:H116)-H125-H126+H127)*-0.05/12</f>
        <v>244.64988302866</v>
      </c>
      <c r="I118" s="45">
        <f>(I109-SUM(I111:I116)-I125-I126+I127)*-0.05/12</f>
        <v>303.25265595795</v>
      </c>
      <c r="J118" s="45">
        <f>(J109-SUM(J111:J116)-J125-J126+J127)*-0.05/12</f>
        <v>402.5843694411</v>
      </c>
      <c r="K118" s="45">
        <f>(K109-SUM(K111:K116)-K125-K126+K127)*-0.05/12</f>
        <v>453.62268691119</v>
      </c>
      <c r="L118" s="45">
        <f>(L109-SUM(L111:L116)-L125-L126+L127)*-0.05/12</f>
        <v>534.52168324824</v>
      </c>
      <c r="M118" s="45"/>
      <c r="N118" s="45"/>
      <c r="O118" s="45"/>
      <c r="P118" s="46">
        <f>SUM(C118:O118)</f>
        <v>-2975.1883030141</v>
      </c>
    </row>
    <row r="119" spans="1:16" customHeight="1" ht="12.75">
      <c r="A119" s="20">
        <v>4.3</v>
      </c>
      <c r="B119" s="15" t="s">
        <v>210</v>
      </c>
      <c r="C119" s="47">
        <f>SUM(C111:C118)</f>
        <v>-5431.25218833</v>
      </c>
      <c r="D119" s="47">
        <f>SUM(D111:D118)</f>
        <v>56.052715269124</v>
      </c>
      <c r="E119" s="47">
        <f>SUM(E111:E118)</f>
        <v>116.48594587441</v>
      </c>
      <c r="F119" s="47">
        <f>SUM(F111:F118)</f>
        <v>146.76801194672</v>
      </c>
      <c r="G119" s="47">
        <f>SUM(G111:G118)</f>
        <v>198.1259336385</v>
      </c>
      <c r="H119" s="47">
        <f>SUM(H111:H118)</f>
        <v>244.64988302866</v>
      </c>
      <c r="I119" s="47">
        <f>SUM(I111:I118)</f>
        <v>303.25265595795</v>
      </c>
      <c r="J119" s="47">
        <f>SUM(J111:J118)</f>
        <v>402.5843694411</v>
      </c>
      <c r="K119" s="47">
        <f>SUM(K111:K118)</f>
        <v>453.62268691119</v>
      </c>
      <c r="L119" s="47">
        <f>SUM(L111:L118)</f>
        <v>534.52168324824</v>
      </c>
      <c r="M119" s="47">
        <f>SUM(M111:M118)</f>
        <v>0</v>
      </c>
      <c r="N119" s="47">
        <f>SUM(N111:N118)</f>
        <v>0</v>
      </c>
      <c r="O119" s="47">
        <f>SUM(O111:O118)</f>
        <v>0</v>
      </c>
      <c r="P119" s="48">
        <f>SUM(P111:P118)</f>
        <v>-2975.1883030141</v>
      </c>
    </row>
    <row r="120" spans="1:16" customHeight="1" ht="12.75">
      <c r="A120" s="18"/>
      <c r="B120" s="4"/>
      <c r="C120" s="43"/>
      <c r="D120" s="43"/>
      <c r="E120" s="43"/>
      <c r="F120" s="43"/>
      <c r="G120" s="43"/>
      <c r="H120" s="43"/>
      <c r="I120" s="43"/>
      <c r="J120" s="43"/>
      <c r="K120" s="43"/>
      <c r="L120" s="43"/>
      <c r="M120" s="43"/>
      <c r="N120" s="43"/>
      <c r="O120" s="43"/>
      <c r="P120" s="44"/>
    </row>
    <row r="121" spans="1:16" customHeight="1" ht="12.75">
      <c r="A121" s="21">
        <v>5.0</v>
      </c>
      <c r="B121" s="6" t="s">
        <v>211</v>
      </c>
      <c r="C121" s="49">
        <f>C109-C119</f>
        <v>30656.62138833</v>
      </c>
      <c r="D121" s="49">
        <f>D109-D119</f>
        <v>-8824.6300752691</v>
      </c>
      <c r="E121" s="49">
        <f>E109-E119</f>
        <v>-14194.616575874</v>
      </c>
      <c r="F121" s="49">
        <f>F109-F119</f>
        <v>-6842.6458219467</v>
      </c>
      <c r="G121" s="49">
        <f>G109-G119</f>
        <v>-11319.709653639</v>
      </c>
      <c r="H121" s="49">
        <f>H109-H119</f>
        <v>-10749.114823029</v>
      </c>
      <c r="I121" s="49">
        <f>I109-I119</f>
        <v>-13744.362275958</v>
      </c>
      <c r="J121" s="49">
        <f>J109-J119</f>
        <v>-23884.312109441</v>
      </c>
      <c r="K121" s="49">
        <f>K109-K119</f>
        <v>-11503.213696911</v>
      </c>
      <c r="L121" s="49">
        <f>L109-L119</f>
        <v>-18769.667323248</v>
      </c>
      <c r="M121" s="49"/>
      <c r="N121" s="49"/>
      <c r="O121" s="49"/>
      <c r="P121" s="50">
        <f>P109-P119</f>
        <v>-89175.650966986</v>
      </c>
    </row>
    <row r="122" spans="1:16" customHeight="1" ht="12.75">
      <c r="A122" s="18"/>
      <c r="B122" s="4"/>
      <c r="C122" s="43"/>
      <c r="D122" s="43"/>
      <c r="E122" s="43"/>
      <c r="F122" s="43"/>
      <c r="G122" s="43"/>
      <c r="H122" s="43"/>
      <c r="I122" s="43"/>
      <c r="J122" s="43"/>
      <c r="K122" s="43"/>
      <c r="L122" s="43"/>
      <c r="M122" s="43"/>
      <c r="N122" s="43"/>
      <c r="O122" s="43"/>
      <c r="P122" s="44"/>
    </row>
    <row r="123" spans="1:16" customHeight="1" ht="12.75">
      <c r="A123" s="18">
        <v>6.0</v>
      </c>
      <c r="B123" s="4" t="s">
        <v>212</v>
      </c>
      <c r="C123" s="43"/>
      <c r="D123" s="43"/>
      <c r="E123" s="43"/>
      <c r="F123" s="43"/>
      <c r="G123" s="43"/>
      <c r="H123" s="43"/>
      <c r="I123" s="43"/>
      <c r="J123" s="43"/>
      <c r="K123" s="43"/>
      <c r="L123" s="43"/>
      <c r="M123" s="43"/>
      <c r="N123" s="43"/>
      <c r="O123" s="43"/>
      <c r="P123" s="44"/>
    </row>
    <row r="124" spans="1:16" customHeight="1" ht="12.75" hidden="true">
      <c r="A124" s="18">
        <v>6.1</v>
      </c>
      <c r="B124" s="4" t="s">
        <v>213</v>
      </c>
      <c r="C124" s="43">
        <v>0.03</v>
      </c>
      <c r="D124" s="43">
        <v>0.03</v>
      </c>
      <c r="E124" s="43">
        <v>0.03</v>
      </c>
      <c r="F124" s="43">
        <v>0.03</v>
      </c>
      <c r="G124" s="43">
        <v>0.06</v>
      </c>
      <c r="H124" s="43">
        <v>0.06</v>
      </c>
      <c r="I124" s="43">
        <v>0.06</v>
      </c>
      <c r="J124" s="43">
        <v>0.06</v>
      </c>
      <c r="K124" s="43">
        <v>0.06</v>
      </c>
      <c r="L124" s="43">
        <v>0.06</v>
      </c>
      <c r="M124" s="43"/>
      <c r="N124" s="43"/>
      <c r="O124" s="43"/>
      <c r="P124" s="44"/>
    </row>
    <row r="125" spans="1:16" customHeight="1" ht="12.75">
      <c r="A125" s="18" t="s">
        <v>214</v>
      </c>
      <c r="B125" s="4" t="s">
        <v>215</v>
      </c>
      <c r="C125" s="43">
        <f>(C36-C18-C20-C33)*C124</f>
        <v>28855.2570441</v>
      </c>
      <c r="D125" s="43">
        <f>(D36-D18-D20-D33)*D124</f>
        <v>595.3227</v>
      </c>
      <c r="E125" s="43">
        <f>(E36-E18-E20-E33)*E124</f>
        <v>308.16</v>
      </c>
      <c r="F125" s="43">
        <f>(F36-F18-F20-F33)*F124</f>
        <v>379.4434179</v>
      </c>
      <c r="G125" s="43">
        <f>(G36-G18-G20-G33)*G124</f>
        <v>961.4086128</v>
      </c>
      <c r="H125" s="43">
        <f>(H36-H18-H20-H33)*H124</f>
        <v>421.0518</v>
      </c>
      <c r="I125" s="43">
        <f>(I36-I18-I20-I33)*I124</f>
        <v>344.46</v>
      </c>
      <c r="J125" s="43">
        <f>(J36-J18-J20-J33)*J124</f>
        <v>49.6644</v>
      </c>
      <c r="K125" s="43">
        <f>(K36-K18-K20-K33)*K124</f>
        <v>724.5643758</v>
      </c>
      <c r="L125" s="43">
        <f>(L36-L18-L20-L33)*L124</f>
        <v>660.9007218</v>
      </c>
      <c r="M125" s="43"/>
      <c r="N125" s="43"/>
      <c r="O125" s="43"/>
      <c r="P125" s="44">
        <f>SUM(C125:O125)</f>
        <v>33300.2330724</v>
      </c>
    </row>
    <row r="126" spans="1:16" customHeight="1" ht="12.75">
      <c r="A126" s="18" t="s">
        <v>216</v>
      </c>
      <c r="B126" s="4" t="s">
        <v>217</v>
      </c>
      <c r="C126" s="43">
        <f>(C36-C18-C20-C33)*0.006000</f>
        <v>5771.05140882</v>
      </c>
      <c r="D126" s="43">
        <f>(D36-D18-D20-D33)*0.006000</f>
        <v>119.06454</v>
      </c>
      <c r="E126" s="43">
        <f>(E36-E18-E20-E33)*0.006000</f>
        <v>61.632</v>
      </c>
      <c r="F126" s="43">
        <f>(F36-F18-F20-F33)*0.006000</f>
        <v>75.88868358</v>
      </c>
      <c r="G126" s="43">
        <f>(G36-G18-G20-G33)*0.006000</f>
        <v>96.14086128</v>
      </c>
      <c r="H126" s="43">
        <f>(H36-H18-H20-H33)*0.006000</f>
        <v>42.10518</v>
      </c>
      <c r="I126" s="43">
        <f>(I36-I18-I20-I33)*0.006000</f>
        <v>34.446</v>
      </c>
      <c r="J126" s="43">
        <f>(J36-J18-J20-J33)*0.006000</f>
        <v>4.96644</v>
      </c>
      <c r="K126" s="43">
        <f>(K36-K18-K20-K33)*0.006000</f>
        <v>72.45643758</v>
      </c>
      <c r="L126" s="43">
        <f>(L36-L18-L20-L33)*0.006000</f>
        <v>66.09007218</v>
      </c>
      <c r="M126" s="43"/>
      <c r="N126" s="43"/>
      <c r="O126" s="43"/>
      <c r="P126" s="44">
        <f>(P36-P18-P20-P33)*0.006000</f>
        <v>6343.84162344</v>
      </c>
    </row>
    <row r="127" spans="1:16" customHeight="1" ht="12.75">
      <c r="A127" s="18">
        <v>6.2</v>
      </c>
      <c r="B127" s="4" t="s">
        <v>218</v>
      </c>
      <c r="C127" s="43"/>
      <c r="D127" s="43">
        <f>C129</f>
        <v>-3969.6870645898</v>
      </c>
      <c r="E127" s="43">
        <f>D129</f>
        <v>-13508.704379859</v>
      </c>
      <c r="F127" s="43">
        <f>E129</f>
        <v>-28073.112955733</v>
      </c>
      <c r="G127" s="43">
        <f>F129</f>
        <v>-35371.09087916</v>
      </c>
      <c r="H127" s="43">
        <f>G129</f>
        <v>-47748.350006879</v>
      </c>
      <c r="I127" s="43">
        <f>H129</f>
        <v>-58960.621809907</v>
      </c>
      <c r="J127" s="43">
        <f>I129</f>
        <v>-73083.890085865</v>
      </c>
      <c r="K127" s="43">
        <f>J129</f>
        <v>-97022.833035306</v>
      </c>
      <c r="L127" s="43">
        <f>K129</f>
        <v>-109323.0675456</v>
      </c>
      <c r="M127" s="43"/>
      <c r="N127" s="43"/>
      <c r="O127" s="43"/>
      <c r="P127" s="44"/>
    </row>
    <row r="128" spans="1:16" customHeight="1" ht="12.75">
      <c r="A128" s="18"/>
      <c r="B128" s="4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4"/>
    </row>
    <row r="129" spans="1:16" customHeight="1" ht="12.75">
      <c r="A129" s="22">
        <v>7.0</v>
      </c>
      <c r="B129" s="13" t="s">
        <v>219</v>
      </c>
      <c r="C129" s="51">
        <f>C121-SUM(C125:C126)+IF(ISBLANK(C127), 0, C127)</f>
        <v>-3969.6870645898</v>
      </c>
      <c r="D129" s="51">
        <f>D121-SUM(D125:D126)+IF(ISBLANK(D127), 0, D127)</f>
        <v>-13508.704379859</v>
      </c>
      <c r="E129" s="51">
        <f>E121-SUM(E125:E126)+IF(ISBLANK(E127), 0, E127)</f>
        <v>-28073.112955733</v>
      </c>
      <c r="F129" s="51">
        <f>F121-SUM(F125:F126)+IF(ISBLANK(F127), 0, F127)</f>
        <v>-35371.09087916</v>
      </c>
      <c r="G129" s="51">
        <f>G121-SUM(G125:G126)+IF(ISBLANK(G127), 0, G127)</f>
        <v>-47748.350006879</v>
      </c>
      <c r="H129" s="51">
        <f>H121-SUM(H125:H126)+IF(ISBLANK(H127), 0, H127)</f>
        <v>-58960.621809907</v>
      </c>
      <c r="I129" s="51">
        <f>I121-SUM(I125:I126)+IF(ISBLANK(I127), 0, I127)</f>
        <v>-73083.890085865</v>
      </c>
      <c r="J129" s="51">
        <f>J121-SUM(J125:J126)+IF(ISBLANK(J127), 0, J127)</f>
        <v>-97022.833035306</v>
      </c>
      <c r="K129" s="51">
        <f>K121-SUM(K125:K126)+IF(ISBLANK(K127), 0, K127)</f>
        <v>-109323.0675456</v>
      </c>
      <c r="L129" s="51">
        <f>L121-SUM(L125:L126)+IF(ISBLANK(L127), 0, L127)</f>
        <v>-128819.72566283</v>
      </c>
      <c r="M129" s="51"/>
      <c r="N129" s="51"/>
      <c r="O129" s="51"/>
      <c r="P129" s="52">
        <f>P121-SUM(P125:P126)+IF(ISBLANK(P127), 0, P127)</f>
        <v>-128819.72566283</v>
      </c>
    </row>
    <row r="130" spans="1:16" customHeight="1" ht="12.75">
      <c r="A130" s="23"/>
      <c r="B130" s="12" t="s">
        <v>220</v>
      </c>
      <c r="C130" s="53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G6:I7"/>
    <mergeCell ref="G11:I11"/>
    <mergeCell ref="O7:P8"/>
  </mergeCells>
  <printOptions gridLines="false" gridLinesSet="true" horizontalCentered="true"/>
  <pageMargins left="0.039370078740157" right="0.039370078740157" top="0.23622047244094" bottom="0.078740157480315" header="0.078740157480315" footer="0.078740157480315"/>
  <pageSetup paperSize="9" orientation="landscape" scale="55" fitToHeight="0" fitToWidth="1" r:id="rId1"/>
  <headerFooter differentOddEven="false" differentFirst="false" scaleWithDoc="true" alignWithMargins="true">
    <oddHeader>&amp;R&amp;"Times New Roman,Bold"&amp;10Page No.: &amp;P of &amp;N &amp;K00+000*</oddHeader>
    <oddFooter/>
    <evenHeader/>
    <evenFooter/>
    <firstHeader/>
    <firstFooter/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Financial Status</vt:lpstr>
      <vt:lpstr>Projection</vt:lpstr>
      <vt:lpstr>Committed Cost</vt:lpstr>
      <vt:lpstr>Accrual</vt:lpstr>
      <vt:lpstr>Cash Flow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ACHILLES POON WAI CHEUNG</dc:creator>
  <cp:lastModifiedBy>HANS TSANG</cp:lastModifiedBy>
  <dcterms:created xsi:type="dcterms:W3CDTF">2018-06-13T15:41:00+08:00</dcterms:created>
  <dcterms:modified xsi:type="dcterms:W3CDTF">2021-11-19T14:28:41+08:00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a3e5c1bc-b50d-47a3-bb43-7580790a230c</vt:lpwstr>
  </property>
</Properties>
</file>