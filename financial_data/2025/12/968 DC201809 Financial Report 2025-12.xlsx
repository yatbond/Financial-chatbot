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<sst xmlns="http://schemas.openxmlformats.org/spreadsheetml/2006/main" uniqueCount="237">
  <si>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Chun Wo Construction &amp; Engineering Company Limited</t>
  </si>
  <si>
    <t>Print Date: 2026-01-13</t>
  </si>
  <si>
    <t>Project Code:</t>
  </si>
  <si>
    <t>Project Name:</t>
  </si>
  <si>
    <t>Contract No. DC/2018/09 Rehabilitation of Trunk Sewers in Tuen Mun</t>
  </si>
  <si>
    <t>Report Date:</t>
  </si>
  <si>
    <t>2025-12-31</t>
  </si>
  <si>
    <t>Start Date:</t>
  </si>
  <si>
    <t>2018-12-28</t>
  </si>
  <si>
    <t>Monthly Financial Report</t>
  </si>
  <si>
    <t>Complete Date:</t>
  </si>
  <si>
    <t>2023-03-31                                Time Consumed (%):</t>
  </si>
  <si>
    <t>Confidential</t>
  </si>
  <si>
    <t>Target Complete Date:</t>
  </si>
  <si>
    <t>2023-12-01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</si>
  <si>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</si>
  <si>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</si>
  <si>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</si>
  <si>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</si>
  <si>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</si>
  <si>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</si>
  <si>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</si>
  <si>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</si>
  <si>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</si>
  <si>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</si>
  <si>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</si>
  <si>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</si>
  <si>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</si>
  <si>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</si>
  <si>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</si>
  <si>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</si>
  <si>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</si>
  <si>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</si>
  <si>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</si>
  <si>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</si>
  <si>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</si>
  <si>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</si>
  <si>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</si>
  <si>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</si>
  <si>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</si>
  <si>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</si>
  <si>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</si>
  <si>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</si>
  <si>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</si>
  <si>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</si>
  <si>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</si>
  <si>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</si>
  <si>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</si>
  <si>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</si>
  <si>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</si>
  <si>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</si>
  <si>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</si>
  <si>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</si>
  <si>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</si>
  <si>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</si>
  <si>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</si>
  <si>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</si>
  <si>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</si>
  <si>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</si>
  <si>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</si>
  <si>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</si>
  <si>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</si>
  <si>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</si>
  <si>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</si>
  <si>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</si>
  <si>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</si>
  <si>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</si>
  <si>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</si>
  <si>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</si>
  <si>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</si>
  <si>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</si>
  <si>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</si>
  <si>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</si>
  <si>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</si>
  <si>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</si>
  <si>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</si>
  <si>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</si>
  <si>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</si>
  <si>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</si>
  <si>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</si>
  <si>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</si>
  <si>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</si>
  <si>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</si>
  <si>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</si>
  <si>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</si>
  <si>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</si>
  <si>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</si>
  <si>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</si>
  <si>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</si>
  <si>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</si>
  <si>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</si>
  <si>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</si>
  <si>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</si>
  <si>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</si>
  <si>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</si>
  <si>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</si>
  <si>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</si>
  <si>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</si>
  <si>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</si>
  <si>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</si>
  <si>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</si>
  <si>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</si>
  <si>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</si>
  <si>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</si>
  <si>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</si>
  <si>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</si>
  <si>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</si>
  <si>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</si>
  <si>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</si>
  <si>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</si>
  <si>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</si>
  <si>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</si>
  <si>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</si>
  <si>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</si>
  <si>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</si>
  <si>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</si>
  <si>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</si>
  <si>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</si>
  <si>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</si>
  <si>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</si>
  <si>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</si>
  <si>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</si>
  <si>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</si>
  <si>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</si>
  <si>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</si>
  <si>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</si>
  <si>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</si>
  <si>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</si>
  <si>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</si>
  <si>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</si>
  <si>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</si>
  <si>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</si>
  <si>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</si>
  <si>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</si>
  <si>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</si>
  <si>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</si>
  <si>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</si>
  <si>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</si>
  <si>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</si>
  <si>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</si>
  <si>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</si>
  <si>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</si>
  <si>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</si>
  <si>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</si>
  <si>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</si>
  <si>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</si>
  <si>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</si>
  <si>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</si>
  <si>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</si>
  <si>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</si>
  <si>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</si>
  <si>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</si>
  <si>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</si>
  <si>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</si>
  <si>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</si>
  <si>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</si>
  <si>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</si>
  <si>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</si>
  <si>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</si>
  <si>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</si>
  <si>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</si>
  <si>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</si>
  <si>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</si>
  <si>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</si>
  <si>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</si>
  <si>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</si>
  <si>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</si>
  <si>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</si>
  <si>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</si>
  <si>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</si>
  <si>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</si>
  <si>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</si>
  <si>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</si>
  <si>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</si>
  <si>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</si>
  <si>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</si>
  <si>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</si>
  <si>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</si>
  <si>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</si>
  <si>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</si>
  <si>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</si>
  <si>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</si>
  <si>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</si>
  <si>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</si>
  <si>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</si>
  <si>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</si>
  <si>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</si>
  <si>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</si>
  <si>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</si>
  <si>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</si>
  <si>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</si>
  <si>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</si>
  <si>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</si>
  <si>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</si>
  <si>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</si>
  <si>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</si>
  <si>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</si>
  <si>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</si>
  <si>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</si>
  <si>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</si>
  <si>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</si>
  <si>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</si>
  <si>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</si>
  <si>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</si>
  <si>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</si>
  <si>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</si>
  <si>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</si>
  <si>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</si>
  <si>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</si>
  <si>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</si>
  <si>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</si>
  <si>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</si>
  <si>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</si>
  <si>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</si>
  <si>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</si>
  <si>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</si>
  <si>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</si>
  <si>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(2.0000%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</si>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</sst>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968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205000</v>
      </c>
      <c r="D17" s="43">
        <v>205000</v>
      </c>
      <c r="E17" s="43">
        <v>0</v>
      </c>
      <c r="F17" s="43">
        <f>D17+E17</f>
        <v>205000</v>
      </c>
      <c r="G17" s="43">
        <v>205000</v>
      </c>
      <c r="H17" s="43">
        <v>205000</v>
      </c>
      <c r="I17" s="43">
        <f>IF(H17="", "", J17-H17)</f>
        <v>0</v>
      </c>
      <c r="J17" s="43">
        <f>IF(ISBLANK(Projection!P14), "", Projection!P14)</f>
        <v>205000</v>
      </c>
      <c r="K17" s="43">
        <f>IF(ISBLANK('Committed Cost'!P14), "", 'Committed Cost'!P14)</f>
        <v>205000</v>
      </c>
      <c r="L17" s="37">
        <f>IFERROR(IF(ISBLANK(F17), "", K17/F17), 0)</f>
        <v>1</v>
      </c>
      <c r="M17" s="43">
        <f>IF(F17="", "", F17-K17)</f>
        <v>0</v>
      </c>
      <c r="N17" s="43">
        <f>IF(ISBLANK(Accrual!P14), "", Accrual!P14)</f>
        <v>428279.83077</v>
      </c>
      <c r="O17" s="43">
        <f>IF(ISBLANK('Cash Flow'!P14), "",'Cash Flow'!P14)</f>
        <v>428280.16457</v>
      </c>
      <c r="P17" s="37">
        <f>IFERROR(IF(O17="", "", O17/K17), 0)</f>
        <v>2.0891715344878</v>
      </c>
      <c r="Q17" s="44">
        <f>IF(K17="", "", K17-O17)</f>
        <v>-223280.16457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5476.51</v>
      </c>
      <c r="D19" s="43">
        <v>25383.56</v>
      </c>
      <c r="E19" s="43">
        <v>0</v>
      </c>
      <c r="F19" s="43">
        <f>D19+E19</f>
        <v>25383.56</v>
      </c>
      <c r="G19" s="43">
        <v>126723.398828</v>
      </c>
      <c r="H19" s="43">
        <v>126723.398828</v>
      </c>
      <c r="I19" s="43">
        <f>IF(H19="", "", J19-H19)</f>
        <v>0</v>
      </c>
      <c r="J19" s="43">
        <f>IF(ISBLANK(Projection!P16), "", Projection!P16)</f>
        <v>126723.398828</v>
      </c>
      <c r="K19" s="43">
        <f>IF(ISBLANK('Committed Cost'!P16), "", 'Committed Cost'!P16)</f>
        <v>71713.6</v>
      </c>
      <c r="L19" s="37">
        <f>IFERROR(IF(ISBLANK(F19), "", K19/F19), 0)</f>
        <v>2.8251986718963</v>
      </c>
      <c r="M19" s="43">
        <f>IF(F19="", "", F19-K19)</f>
        <v>-46330.04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71713.6</v>
      </c>
    </row>
    <row r="20" spans="1:18" customHeight="1" ht="12.75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25480.08</v>
      </c>
      <c r="H20" s="43">
        <v>25480.08</v>
      </c>
      <c r="I20" s="43">
        <f>IF(H20="", "", J20-H20)</f>
        <v>0</v>
      </c>
      <c r="J20" s="43">
        <f>IF(ISBLANK(Projection!P17), "", Projection!P17)</f>
        <v>25480.08</v>
      </c>
      <c r="K20" s="43">
        <f>IF(ISBLANK('Committed Cost'!P17), "", 'Committed Cost'!P17)</f>
        <v>14311.16</v>
      </c>
      <c r="L20" s="37">
        <f>IFERROR(IF(ISBLANK(F20), "", K20/F20), 0)</f>
        <v>0</v>
      </c>
      <c r="M20" s="43">
        <f>IF(F20="", "", F20-K20)</f>
        <v>-14311.16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14311.16</v>
      </c>
    </row>
    <row r="21" spans="1:18" customHeight="1" ht="12.75" hidden="true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0</v>
      </c>
      <c r="H21" s="43">
        <v>0</v>
      </c>
      <c r="I21" s="43">
        <f>IF(H21="", "", J21-H21)</f>
        <v>0</v>
      </c>
      <c r="J21" s="43">
        <f>IF(ISBLANK(Projection!P18), "", Projection!P18)</f>
        <v>0</v>
      </c>
      <c r="K21" s="43">
        <f>IF(ISBLANK('Committed Cost'!P18), "", 'Committed Cost'!P18)</f>
        <v>0</v>
      </c>
      <c r="L21" s="37">
        <f>IFERROR(IF(ISBLANK(F21), "", K21/F21), 0)</f>
        <v>0</v>
      </c>
      <c r="M21" s="43">
        <f>IF(F21="", "", F21-K21)</f>
        <v>0</v>
      </c>
      <c r="N21" s="43">
        <f>IF(ISBLANK(Accrual!P18), "", Accrual!P18)</f>
        <v>0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0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6124.68</v>
      </c>
      <c r="D26" s="43">
        <v>13371.87</v>
      </c>
      <c r="E26" s="43">
        <v>0</v>
      </c>
      <c r="F26" s="43">
        <f>D26+E26</f>
        <v>13371.87</v>
      </c>
      <c r="G26" s="43">
        <v>52516.54</v>
      </c>
      <c r="H26" s="43">
        <v>52516.54</v>
      </c>
      <c r="I26" s="43">
        <f>IF(H26="", "", J26-H26)</f>
        <v>0</v>
      </c>
      <c r="J26" s="43">
        <f>IF(ISBLANK(Projection!P23), "", Projection!P23)</f>
        <v>52516.54</v>
      </c>
      <c r="K26" s="43">
        <f>IF(ISBLANK('Committed Cost'!P23), "", 'Committed Cost'!P23)</f>
        <v>52429.896</v>
      </c>
      <c r="L26" s="37">
        <f>IFERROR(IF(ISBLANK(F26), "", K26/F26), 0)</f>
        <v>3.9209097904781</v>
      </c>
      <c r="M26" s="43">
        <f>IF(F26="", "", F26-K26)</f>
        <v>-39058.026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52429.896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</v>
      </c>
      <c r="H28" s="43">
        <v>0</v>
      </c>
      <c r="I28" s="43">
        <f>IF(H28="", "", J28-H28)</f>
        <v>0</v>
      </c>
      <c r="J28" s="43">
        <f>IF(ISBLANK(Projection!P25), "", Projection!P25)</f>
        <v>0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0.008</v>
      </c>
      <c r="P28" s="37">
        <f>IFERROR(IF(O28="", "", O28/K28), 0)</f>
        <v>0</v>
      </c>
      <c r="Q28" s="44">
        <f>IF(K28="", "", K28-O28)</f>
        <v>-0.008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>
      <c r="A31" s="18" t="s">
        <v>67</v>
      </c>
      <c r="B31" s="4" t="s">
        <v>68</v>
      </c>
      <c r="C31" s="43">
        <v>12333</v>
      </c>
      <c r="D31" s="43">
        <v>12089.6</v>
      </c>
      <c r="E31" s="43">
        <v>0</v>
      </c>
      <c r="F31" s="43">
        <f>D31+E31</f>
        <v>12089.6</v>
      </c>
      <c r="G31" s="43">
        <v>3067.819</v>
      </c>
      <c r="H31" s="43">
        <v>3067.819</v>
      </c>
      <c r="I31" s="43">
        <f>IF(H31="", "", J31-H31)</f>
        <v>0</v>
      </c>
      <c r="J31" s="43">
        <f>IF(ISBLANK(Projection!P28), "", Projection!P28)</f>
        <v>3067.819</v>
      </c>
      <c r="K31" s="43">
        <f>IF(ISBLANK('Committed Cost'!P28), "", 'Committed Cost'!P28)</f>
        <v>2966.76</v>
      </c>
      <c r="L31" s="37">
        <f>IFERROR(IF(ISBLANK(F31), "", K31/F31), 0)</f>
        <v>0.24539769719428</v>
      </c>
      <c r="M31" s="43">
        <f>IF(F31="", "", F31-K31)</f>
        <v>9122.84</v>
      </c>
      <c r="N31" s="43">
        <f>IF(ISBLANK(Accrual!P28), "", Accrual!P28)</f>
        <v>-0.14</v>
      </c>
      <c r="O31" s="43">
        <f>IF(ISBLANK('Cash Flow'!P28), "",'Cash Flow'!P28)</f>
        <v>-0.038000000000011</v>
      </c>
      <c r="P31" s="37">
        <f>IFERROR(IF(O31="", "", O31/K31), 0)</f>
        <v>-1.2808585797304E-5</v>
      </c>
      <c r="Q31" s="44">
        <f>IF(K31="", "", K31-O31)</f>
        <v>2966.798</v>
      </c>
    </row>
    <row r="32" spans="1:18" customHeight="1" ht="12.75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15492.6</v>
      </c>
      <c r="H32" s="43">
        <v>15492.6</v>
      </c>
      <c r="I32" s="43">
        <f>IF(H32="", "", J32-H32)</f>
        <v>0</v>
      </c>
      <c r="J32" s="43">
        <f>IF(ISBLANK(Projection!P29), "", Projection!P29)</f>
        <v>15492.6</v>
      </c>
      <c r="K32" s="43">
        <f>IF(ISBLANK('Committed Cost'!P29), "", 'Committed Cost'!P29)</f>
        <v>-48534.78557</v>
      </c>
      <c r="L32" s="37">
        <f>IFERROR(IF(ISBLANK(F32), "", K32/F32), 0)</f>
        <v>0</v>
      </c>
      <c r="M32" s="43">
        <f>IF(F32="", "", F32-K32)</f>
        <v>48534.78557</v>
      </c>
      <c r="N32" s="43">
        <f>IF(ISBLANK(Accrual!P29), "", Accrual!P29)</f>
        <v>0.19949</v>
      </c>
      <c r="O32" s="43">
        <f>IF(ISBLANK('Cash Flow'!P29), "",'Cash Flow'!P29)</f>
        <v>-0.20050999999989</v>
      </c>
      <c r="P32" s="37">
        <f>IFERROR(IF(O32="", "", O32/K32), 0)</f>
        <v>4.131263745066E-6</v>
      </c>
      <c r="Q32" s="44">
        <f>IF(K32="", "", K32-O32)</f>
        <v>-48534.58506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-0.24791000000005</v>
      </c>
      <c r="P35" s="37">
        <f>IFERROR(IF(O35="", "", O35/K35), 0)</f>
        <v>0</v>
      </c>
      <c r="Q35" s="44">
        <f>IF(K35="", "", K35-O35)</f>
        <v>0.24791000000005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228934.19</v>
      </c>
      <c r="D39" s="47">
        <f>SUM(D15:D38)</f>
        <v>255845.03</v>
      </c>
      <c r="E39" s="47">
        <f>SUM(E15:E38)</f>
        <v>0</v>
      </c>
      <c r="F39" s="47">
        <f>SUM(F15:F38)</f>
        <v>255845.03</v>
      </c>
      <c r="G39" s="47">
        <f>SUM(G15:G38)</f>
        <v>428280.437828</v>
      </c>
      <c r="H39" s="47">
        <f>SUM(H15:H38)</f>
        <v>428280.437828</v>
      </c>
      <c r="I39" s="47">
        <f>IF(H39="", "", J39-H39)</f>
        <v>0</v>
      </c>
      <c r="J39" s="47">
        <f>IF(ISBLANK(Projection!P36), "", Projection!P36)</f>
        <v>428280.437828</v>
      </c>
      <c r="K39" s="47">
        <f>IF(ISBLANK('Committed Cost'!P36), "", 'Committed Cost'!P36)</f>
        <v>297886.63043</v>
      </c>
      <c r="L39" s="39">
        <f>IFERROR(IF(ISBLANK(F39), "", K39/F39), 0)</f>
        <v>1.1643244757578</v>
      </c>
      <c r="M39" s="47">
        <f>IF(F39="", "", F39-K39)</f>
        <v>-42041.60043</v>
      </c>
      <c r="N39" s="47">
        <f>IF(ISBLANK(Accrual!P36), "", Accrual!P36)</f>
        <v>428279.89026</v>
      </c>
      <c r="O39" s="47">
        <f>IF(ISBLANK('Cash Flow'!P36), "",'Cash Flow'!P36)</f>
        <v>428279.68615</v>
      </c>
      <c r="P39" s="39">
        <f>IFERROR(IF(O39="", "", O39/K39), 0)</f>
        <v>1.4377271162918</v>
      </c>
      <c r="Q39" s="48">
        <f>IF(K39="", "", K39-O39)</f>
        <v>-130393.05572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19623.397</v>
      </c>
      <c r="D43" s="43">
        <v>29952.64</v>
      </c>
      <c r="E43" s="43">
        <v>0.0</v>
      </c>
      <c r="F43" s="43">
        <f>D43+E43</f>
        <v>29952.64</v>
      </c>
      <c r="G43" s="43">
        <v>80028.454</v>
      </c>
      <c r="H43" s="43">
        <v>80028.454</v>
      </c>
      <c r="I43" s="43">
        <f>IF(H43="", "", J43-H43)</f>
        <v>0</v>
      </c>
      <c r="J43" s="43">
        <f>IF(ISBLANK(Projection!P40), "", Projection!P40)</f>
        <v>80028.454</v>
      </c>
      <c r="K43" s="43">
        <f>IF(ISBLANK('Committed Cost'!P40), "", 'Committed Cost'!P40)</f>
        <v>79994.22265</v>
      </c>
      <c r="L43" s="37">
        <f>IFERROR(IF(ISBLANK(F43), "", K43/F43), 0)</f>
        <v>2.6706902179574</v>
      </c>
      <c r="M43" s="43">
        <f>IF(F43="", "", F43-K43)</f>
        <v>-50041.58265</v>
      </c>
      <c r="N43" s="43">
        <f>IF(ISBLANK(Accrual!P40), "", Accrual!P40)</f>
        <v>79994.03444</v>
      </c>
      <c r="O43" s="43">
        <f>IF(ISBLANK('Cash Flow'!P40), "",'Cash Flow'!P40)</f>
        <v>79994.63444</v>
      </c>
      <c r="P43" s="37">
        <f>IFERROR(IF(O43="", "", O43/K43), 0)</f>
        <v>1.0000051477468</v>
      </c>
      <c r="Q43" s="44">
        <f>IF(K43="", "", K43-O43)</f>
        <v>-0.41178999999829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25</v>
      </c>
      <c r="H44" s="43">
        <v>25</v>
      </c>
      <c r="I44" s="43">
        <f>IF(H44="", "", J44-H44)</f>
        <v>170</v>
      </c>
      <c r="J44" s="43">
        <f>IF(ISBLANK(Projection!P41), "", Projection!P41)</f>
        <v>195</v>
      </c>
      <c r="K44" s="43">
        <f>IF(ISBLANK('Committed Cost'!P41), "", 'Committed Cost'!P41)</f>
        <v>191.63963</v>
      </c>
      <c r="L44" s="37">
        <f>IFERROR(IF(ISBLANK(F44), "", K44/F44), 0)</f>
        <v>0</v>
      </c>
      <c r="M44" s="43">
        <f>IF(F44="", "", F44-K44)</f>
        <v>-191.63963</v>
      </c>
      <c r="N44" s="43">
        <f>IF(ISBLANK(Accrual!P41), "", Accrual!P41)</f>
        <v>191.63963</v>
      </c>
      <c r="O44" s="43">
        <f>IF(ISBLANK('Cash Flow'!P41), "",'Cash Flow'!P41)</f>
        <v>191.27963</v>
      </c>
      <c r="P44" s="37">
        <f>IFERROR(IF(O44="", "", O44/K44), 0)</f>
        <v>0.99812147414394</v>
      </c>
      <c r="Q44" s="44">
        <f>IF(K44="", "", K44-O44)</f>
        <v>0.36000000000001</v>
      </c>
    </row>
    <row r="45" spans="1:18" customHeight="1" ht="12.75">
      <c r="A45" s="18" t="s">
        <v>85</v>
      </c>
      <c r="B45" s="4" t="s">
        <v>86</v>
      </c>
      <c r="C45" s="43">
        <v>0.0</v>
      </c>
      <c r="D45" s="43">
        <v>0.0</v>
      </c>
      <c r="E45" s="43">
        <v>0.0</v>
      </c>
      <c r="F45" s="43">
        <f>D45+E45</f>
        <v>0</v>
      </c>
      <c r="G45" s="43">
        <v>250</v>
      </c>
      <c r="H45" s="43">
        <v>250</v>
      </c>
      <c r="I45" s="43">
        <f>IF(H45="", "", J45-H45)</f>
        <v>0</v>
      </c>
      <c r="J45" s="43">
        <f>IF(ISBLANK(Projection!P42), "", Projection!P42)</f>
        <v>250</v>
      </c>
      <c r="K45" s="43">
        <f>IF(ISBLANK('Committed Cost'!P42), "", 'Committed Cost'!P42)</f>
        <v>122.51203</v>
      </c>
      <c r="L45" s="37">
        <f>IFERROR(IF(ISBLANK(F45), "", K45/F45), 0)</f>
        <v>0</v>
      </c>
      <c r="M45" s="43">
        <f>IF(F45="", "", F45-K45)</f>
        <v>-122.51203</v>
      </c>
      <c r="N45" s="43">
        <f>IF(ISBLANK(Accrual!P42), "", Accrual!P42)</f>
        <v>122.51203</v>
      </c>
      <c r="O45" s="43">
        <f>IF(ISBLANK('Cash Flow'!P42), "",'Cash Flow'!P42)</f>
        <v>122.51203</v>
      </c>
      <c r="P45" s="37">
        <f>IFERROR(IF(O45="", "", O45/K45), 0)</f>
        <v>1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0.0</v>
      </c>
      <c r="D46" s="43">
        <v>7622.083</v>
      </c>
      <c r="E46" s="43">
        <v>0.0</v>
      </c>
      <c r="F46" s="43">
        <f>D46+E46</f>
        <v>7622.083</v>
      </c>
      <c r="G46" s="43">
        <v>15643</v>
      </c>
      <c r="H46" s="43">
        <v>15643</v>
      </c>
      <c r="I46" s="43">
        <f>IF(H46="", "", J46-H46)</f>
        <v>0</v>
      </c>
      <c r="J46" s="43">
        <f>IF(ISBLANK(Projection!P43), "", Projection!P43)</f>
        <v>15643</v>
      </c>
      <c r="K46" s="43">
        <f>IF(ISBLANK('Committed Cost'!P43), "", 'Committed Cost'!P43)</f>
        <v>15420.88798</v>
      </c>
      <c r="L46" s="37">
        <f>IFERROR(IF(ISBLANK(F46), "", K46/F46), 0)</f>
        <v>2.0231855229076</v>
      </c>
      <c r="M46" s="43">
        <f>IF(F46="", "", F46-K46)</f>
        <v>-7798.80498</v>
      </c>
      <c r="N46" s="43">
        <f>IF(ISBLANK(Accrual!P43), "", Accrual!P43)</f>
        <v>15420.88306</v>
      </c>
      <c r="O46" s="43">
        <f>IF(ISBLANK('Cash Flow'!P43), "",'Cash Flow'!P43)</f>
        <v>15420.88306</v>
      </c>
      <c r="P46" s="37">
        <f>IFERROR(IF(O46="", "", O46/K46), 0)</f>
        <v>0.99999968095222</v>
      </c>
      <c r="Q46" s="44">
        <f>IF(K46="", "", K46-O46)</f>
        <v>0.0049199999994016</v>
      </c>
    </row>
    <row r="47" spans="1:18" customHeight="1" ht="12.75">
      <c r="A47" s="18" t="s">
        <v>89</v>
      </c>
      <c r="B47" s="4" t="s">
        <v>90</v>
      </c>
      <c r="C47" s="43">
        <v>1561.889</v>
      </c>
      <c r="D47" s="43">
        <v>3702.16</v>
      </c>
      <c r="E47" s="43">
        <v>0.0</v>
      </c>
      <c r="F47" s="43">
        <f>D47+E47</f>
        <v>3702.16</v>
      </c>
      <c r="G47" s="43">
        <v>3541.00000128</v>
      </c>
      <c r="H47" s="43">
        <v>3541.00000128</v>
      </c>
      <c r="I47" s="43">
        <f>IF(H47="", "", J47-H47)</f>
        <v>580</v>
      </c>
      <c r="J47" s="43">
        <f>IF(ISBLANK(Projection!P44), "", Projection!P44)</f>
        <v>4121.00000128</v>
      </c>
      <c r="K47" s="43">
        <f>IF(ISBLANK('Committed Cost'!P44), "", 'Committed Cost'!P44)</f>
        <v>4106.68328</v>
      </c>
      <c r="L47" s="37">
        <f>IFERROR(IF(ISBLANK(F47), "", K47/F47), 0)</f>
        <v>1.1092668280139</v>
      </c>
      <c r="M47" s="43">
        <f>IF(F47="", "", F47-K47)</f>
        <v>-404.52328</v>
      </c>
      <c r="N47" s="43">
        <f>IF(ISBLANK(Accrual!P44), "", Accrual!P44)</f>
        <v>4106.68328</v>
      </c>
      <c r="O47" s="43">
        <f>IF(ISBLANK('Cash Flow'!P44), "",'Cash Flow'!P44)</f>
        <v>4108.61328</v>
      </c>
      <c r="P47" s="37">
        <f>IFERROR(IF(O47="", "", O47/K47), 0)</f>
        <v>1.0004699656312</v>
      </c>
      <c r="Q47" s="44">
        <f>IF(K47="", "", K47-O47)</f>
        <v>-1.9300000000003</v>
      </c>
    </row>
    <row r="48" spans="1:18" customHeight="1" ht="12.75">
      <c r="A48" s="18" t="s">
        <v>91</v>
      </c>
      <c r="B48" s="4" t="s">
        <v>92</v>
      </c>
      <c r="C48" s="43">
        <v>7686.756</v>
      </c>
      <c r="D48" s="43">
        <v>28236.281</v>
      </c>
      <c r="E48" s="43">
        <v>0.0</v>
      </c>
      <c r="F48" s="43">
        <f>D48+E48</f>
        <v>28236.281</v>
      </c>
      <c r="G48" s="43">
        <v>38720</v>
      </c>
      <c r="H48" s="43">
        <v>38720</v>
      </c>
      <c r="I48" s="43">
        <f>IF(H48="", "", J48-H48)</f>
        <v>0</v>
      </c>
      <c r="J48" s="43">
        <f>IF(ISBLANK(Projection!P45), "", Projection!P45)</f>
        <v>38720</v>
      </c>
      <c r="K48" s="43">
        <f>IF(ISBLANK('Committed Cost'!P45), "", 'Committed Cost'!P45)</f>
        <v>36097.86919</v>
      </c>
      <c r="L48" s="37">
        <f>IFERROR(IF(ISBLANK(F48), "", K48/F48), 0)</f>
        <v>1.2784215169838</v>
      </c>
      <c r="M48" s="43">
        <f>IF(F48="", "", F48-K48)</f>
        <v>-7861.58819</v>
      </c>
      <c r="N48" s="43">
        <f>IF(ISBLANK(Accrual!P45), "", Accrual!P45)</f>
        <v>31951.65109</v>
      </c>
      <c r="O48" s="43">
        <f>IF(ISBLANK('Cash Flow'!P45), "",'Cash Flow'!P45)</f>
        <v>31635.06514</v>
      </c>
      <c r="P48" s="37">
        <f>IFERROR(IF(O48="", "", O48/K48), 0)</f>
        <v>0.87636932178711</v>
      </c>
      <c r="Q48" s="44">
        <f>IF(K48="", "", K48-O48)</f>
        <v>4462.80405</v>
      </c>
    </row>
    <row r="49" spans="1:18" customHeight="1" ht="12.75" hidden="true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0</v>
      </c>
      <c r="H49" s="43">
        <v>0</v>
      </c>
      <c r="I49" s="43">
        <f>IF(H49="", "", J49-H49)</f>
        <v>0</v>
      </c>
      <c r="J49" s="43">
        <f>IF(ISBLANK(Projection!P46), "", Projection!P46)</f>
        <v>0</v>
      </c>
      <c r="K49" s="43">
        <f>IF(ISBLANK('Committed Cost'!P46), "", 'Committed Cost'!P46)</f>
        <v>0</v>
      </c>
      <c r="L49" s="37">
        <f>IFERROR(IF(ISBLANK(F49), "", K49/F49), 0)</f>
        <v>0</v>
      </c>
      <c r="M49" s="43">
        <f>IF(F49="", "", F49-K49)</f>
        <v>0</v>
      </c>
      <c r="N49" s="43">
        <f>IF(ISBLANK(Accrual!P46), "", Accrual!P46)</f>
        <v>0</v>
      </c>
      <c r="O49" s="43">
        <f>IF(ISBLANK('Cash Flow'!P46), "",'Cash Flow'!P46)</f>
        <v>0</v>
      </c>
      <c r="P49" s="37">
        <f>IFERROR(IF(O49="", "", O49/K49), 0)</f>
        <v>0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1252.803</v>
      </c>
      <c r="D50" s="43">
        <v>4602.007</v>
      </c>
      <c r="E50" s="43">
        <v>0.0</v>
      </c>
      <c r="F50" s="43">
        <f>D50+E50</f>
        <v>4602.007</v>
      </c>
      <c r="G50" s="43">
        <v>2500</v>
      </c>
      <c r="H50" s="43">
        <v>2500</v>
      </c>
      <c r="I50" s="43">
        <f>IF(H50="", "", J50-H50)</f>
        <v>0</v>
      </c>
      <c r="J50" s="43">
        <f>IF(ISBLANK(Projection!P47), "", Projection!P47)</f>
        <v>2500</v>
      </c>
      <c r="K50" s="43">
        <f>IF(ISBLANK('Committed Cost'!P47), "", 'Committed Cost'!P47)</f>
        <v>2213.61862</v>
      </c>
      <c r="L50" s="37">
        <f>IFERROR(IF(ISBLANK(F50), "", K50/F50), 0)</f>
        <v>0.48101157169035</v>
      </c>
      <c r="M50" s="43">
        <f>IF(F50="", "", F50-K50)</f>
        <v>2388.38838</v>
      </c>
      <c r="N50" s="43">
        <f>IF(ISBLANK(Accrual!P47), "", Accrual!P47)</f>
        <v>2007.1258</v>
      </c>
      <c r="O50" s="43">
        <f>IF(ISBLANK('Cash Flow'!P47), "",'Cash Flow'!P47)</f>
        <v>2001.6898</v>
      </c>
      <c r="P50" s="37">
        <f>IFERROR(IF(O50="", "", O50/K50), 0)</f>
        <v>0.90426136729912</v>
      </c>
      <c r="Q50" s="44">
        <f>IF(K50="", "", K50-O50)</f>
        <v>211.92882</v>
      </c>
    </row>
    <row r="51" spans="1:18" customHeight="1" ht="12.75">
      <c r="A51" s="18" t="s">
        <v>97</v>
      </c>
      <c r="B51" s="4" t="s">
        <v>98</v>
      </c>
      <c r="C51" s="43">
        <v>1245.4</v>
      </c>
      <c r="D51" s="43">
        <v>2528.73</v>
      </c>
      <c r="E51" s="43">
        <v>0.0</v>
      </c>
      <c r="F51" s="43">
        <f>D51+E51</f>
        <v>2528.73</v>
      </c>
      <c r="G51" s="43">
        <v>8956.305</v>
      </c>
      <c r="H51" s="43">
        <v>8956.305</v>
      </c>
      <c r="I51" s="43">
        <f>IF(H51="", "", J51-H51)</f>
        <v>0</v>
      </c>
      <c r="J51" s="43">
        <f>IF(ISBLANK(Projection!P48), "", Projection!P48)</f>
        <v>8956.305</v>
      </c>
      <c r="K51" s="43">
        <f>IF(ISBLANK('Committed Cost'!P48), "", 'Committed Cost'!P48)</f>
        <v>8912.43181</v>
      </c>
      <c r="L51" s="37">
        <f>IFERROR(IF(ISBLANK(F51), "", K51/F51), 0)</f>
        <v>3.524469520273</v>
      </c>
      <c r="M51" s="43">
        <f>IF(F51="", "", F51-K51)</f>
        <v>-6383.70181</v>
      </c>
      <c r="N51" s="43">
        <f>IF(ISBLANK(Accrual!P48), "", Accrual!P48)</f>
        <v>7940.69621</v>
      </c>
      <c r="O51" s="43">
        <f>IF(ISBLANK('Cash Flow'!P48), "",'Cash Flow'!P48)</f>
        <v>7847.94621</v>
      </c>
      <c r="P51" s="37">
        <f>IFERROR(IF(O51="", "", O51/K51), 0)</f>
        <v>0.8805617116974</v>
      </c>
      <c r="Q51" s="44">
        <f>IF(K51="", "", K51-O51)</f>
        <v>1064.4856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1926.021</v>
      </c>
      <c r="D53" s="43">
        <v>5668.525</v>
      </c>
      <c r="E53" s="43">
        <v>0.0</v>
      </c>
      <c r="F53" s="43">
        <f>D53+E53</f>
        <v>5668.525</v>
      </c>
      <c r="G53" s="43">
        <v>16197</v>
      </c>
      <c r="H53" s="43">
        <v>16197</v>
      </c>
      <c r="I53" s="43">
        <f>IF(H53="", "", J53-H53)</f>
        <v>0</v>
      </c>
      <c r="J53" s="43">
        <f>IF(ISBLANK(Projection!P50), "", Projection!P50)</f>
        <v>16197</v>
      </c>
      <c r="K53" s="43">
        <f>IF(ISBLANK('Committed Cost'!P50), "", 'Committed Cost'!P50)</f>
        <v>11803.19162</v>
      </c>
      <c r="L53" s="37">
        <f>IFERROR(IF(ISBLANK(F53), "", K53/F53), 0)</f>
        <v>2.0822333181912</v>
      </c>
      <c r="M53" s="43">
        <f>IF(F53="", "", F53-K53)</f>
        <v>-6134.66662</v>
      </c>
      <c r="N53" s="43">
        <f>IF(ISBLANK(Accrual!P50), "", Accrual!P50)</f>
        <v>10984.38971</v>
      </c>
      <c r="O53" s="43">
        <f>IF(ISBLANK('Cash Flow'!P50), "",'Cash Flow'!P50)</f>
        <v>9861.10621</v>
      </c>
      <c r="P53" s="37">
        <f>IFERROR(IF(O53="", "", O53/K53), 0)</f>
        <v>0.83546099457462</v>
      </c>
      <c r="Q53" s="44">
        <f>IF(K53="", "", K53-O53)</f>
        <v>1942.08541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0.0</v>
      </c>
      <c r="E57" s="43">
        <v>0.0</v>
      </c>
      <c r="F57" s="43">
        <f>D57+E57</f>
        <v>0</v>
      </c>
      <c r="G57" s="43">
        <v>6350</v>
      </c>
      <c r="H57" s="43">
        <v>6350</v>
      </c>
      <c r="I57" s="43">
        <f>IF(H57="", "", J57-H57)</f>
        <v>1000</v>
      </c>
      <c r="J57" s="43">
        <f>IF(ISBLANK(Projection!P54), "", Projection!P54)</f>
        <v>7350</v>
      </c>
      <c r="K57" s="43">
        <f>IF(ISBLANK('Committed Cost'!P54), "", 'Committed Cost'!P54)</f>
        <v>7303.688</v>
      </c>
      <c r="L57" s="37">
        <f>IFERROR(IF(ISBLANK(F57), "", K57/F57), 0)</f>
        <v>0</v>
      </c>
      <c r="M57" s="43">
        <f>IF(F57="", "", F57-K57)</f>
        <v>-7303.688</v>
      </c>
      <c r="N57" s="43">
        <f>IF(ISBLANK(Accrual!P54), "", Accrual!P54)</f>
        <v>6640.6271</v>
      </c>
      <c r="O57" s="43">
        <f>IF(ISBLANK('Cash Flow'!P54), "",'Cash Flow'!P54)</f>
        <v>6243.4321</v>
      </c>
      <c r="P57" s="37">
        <f>IFERROR(IF(O57="", "", O57/K57), 0)</f>
        <v>0.85483280501577</v>
      </c>
      <c r="Q57" s="44">
        <f>IF(K57="", "", K57-O57)</f>
        <v>1060.2559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0.0</v>
      </c>
      <c r="E58" s="43">
        <v>0.0</v>
      </c>
      <c r="F58" s="43">
        <f>D58+E58</f>
        <v>0</v>
      </c>
      <c r="G58" s="43">
        <v>2155</v>
      </c>
      <c r="H58" s="43">
        <v>2155</v>
      </c>
      <c r="I58" s="43">
        <f>IF(H58="", "", J58-H58)</f>
        <v>0</v>
      </c>
      <c r="J58" s="43">
        <f>IF(ISBLANK(Projection!P55), "", Projection!P55)</f>
        <v>2155</v>
      </c>
      <c r="K58" s="43">
        <f>IF(ISBLANK('Committed Cost'!P55), "", 'Committed Cost'!P55)</f>
        <v>2149.26442</v>
      </c>
      <c r="L58" s="37">
        <f>IFERROR(IF(ISBLANK(F58), "", K58/F58), 0)</f>
        <v>0</v>
      </c>
      <c r="M58" s="43">
        <f>IF(F58="", "", F58-K58)</f>
        <v>-2149.26442</v>
      </c>
      <c r="N58" s="43">
        <f>IF(ISBLANK(Accrual!P55), "", Accrual!P55)</f>
        <v>1124.42233</v>
      </c>
      <c r="O58" s="43">
        <f>IF(ISBLANK('Cash Flow'!P55), "",'Cash Flow'!P55)</f>
        <v>1124.42233</v>
      </c>
      <c r="P58" s="37">
        <f>IFERROR(IF(O58="", "", O58/K58), 0)</f>
        <v>0.52316612117926</v>
      </c>
      <c r="Q58" s="44">
        <f>IF(K58="", "", K58-O58)</f>
        <v>1024.84209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0.0</v>
      </c>
      <c r="E60" s="43">
        <v>0.0</v>
      </c>
      <c r="F60" s="43">
        <f>D60+E60</f>
        <v>0</v>
      </c>
      <c r="G60" s="43">
        <v>6154</v>
      </c>
      <c r="H60" s="43">
        <v>6154</v>
      </c>
      <c r="I60" s="43">
        <f>IF(H60="", "", J60-H60)</f>
        <v>-0.0600000000004</v>
      </c>
      <c r="J60" s="43">
        <f>IF(ISBLANK(Projection!P57), "", Projection!P57)</f>
        <v>6153.94</v>
      </c>
      <c r="K60" s="43">
        <f>IF(ISBLANK('Committed Cost'!P57), "", 'Committed Cost'!P57)</f>
        <v>5995.42022</v>
      </c>
      <c r="L60" s="37">
        <f>IFERROR(IF(ISBLANK(F60), "", K60/F60), 0)</f>
        <v>0</v>
      </c>
      <c r="M60" s="43">
        <f>IF(F60="", "", F60-K60)</f>
        <v>-5995.42022</v>
      </c>
      <c r="N60" s="43">
        <f>IF(ISBLANK(Accrual!P57), "", Accrual!P57)</f>
        <v>4951.39086</v>
      </c>
      <c r="O60" s="43">
        <f>IF(ISBLANK('Cash Flow'!P57), "",'Cash Flow'!P57)</f>
        <v>4863.19086</v>
      </c>
      <c r="P60" s="37">
        <f>IFERROR(IF(O60="", "", O60/K60), 0)</f>
        <v>0.81115095882303</v>
      </c>
      <c r="Q60" s="44">
        <f>IF(K60="", "", K60-O60)</f>
        <v>1132.22936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</v>
      </c>
      <c r="D63" s="43">
        <v>0</v>
      </c>
      <c r="E63" s="43">
        <v>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78018.3</v>
      </c>
      <c r="D69" s="43">
        <v>49000.0</v>
      </c>
      <c r="E69" s="43">
        <v>0.0</v>
      </c>
      <c r="F69" s="43">
        <f>D69+E69</f>
        <v>49000</v>
      </c>
      <c r="G69" s="43">
        <v>98849.671</v>
      </c>
      <c r="H69" s="43">
        <v>98849.671</v>
      </c>
      <c r="I69" s="43">
        <f>IF(H69="", "", J69-H69)</f>
        <v>0</v>
      </c>
      <c r="J69" s="43">
        <f>IF(ISBLANK(Projection!P66), "", Projection!P66)</f>
        <v>98849.671</v>
      </c>
      <c r="K69" s="43">
        <f>IF(ISBLANK('Committed Cost'!P66), "", 'Committed Cost'!P66)</f>
        <v>98119.7489</v>
      </c>
      <c r="L69" s="37">
        <f>IFERROR(IF(ISBLANK(F69), "", K69/F69), 0)</f>
        <v>2.002443855102</v>
      </c>
      <c r="M69" s="43">
        <f>IF(F69="", "", F69-K69)</f>
        <v>-49119.7489</v>
      </c>
      <c r="N69" s="43">
        <f>IF(ISBLANK(Accrual!P66), "", Accrual!P66)</f>
        <v>67248.8264</v>
      </c>
      <c r="O69" s="43">
        <f>IF(ISBLANK('Cash Flow'!P66), "",'Cash Flow'!P66)</f>
        <v>63804.48374</v>
      </c>
      <c r="P69" s="37">
        <f>IFERROR(IF(O69="", "", O69/K69), 0)</f>
        <v>0.65027157585806</v>
      </c>
      <c r="Q69" s="44">
        <f>IF(K69="", "", K69-O69)</f>
        <v>34315.26516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3031.8132</v>
      </c>
      <c r="O70" s="43">
        <f>IF(ISBLANK('Cash Flow'!P67), "",'Cash Flow'!P67)</f>
        <v>8385.62866</v>
      </c>
      <c r="P70" s="37">
        <f>IFERROR(IF(O70="", "", O70/K70), 0)</f>
        <v>0</v>
      </c>
      <c r="Q70" s="44">
        <f>IF(K70="", "", K70-O70)</f>
        <v>-8385.62866</v>
      </c>
    </row>
    <row r="71" spans="1:18" customHeight="1" ht="12.75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-56690</v>
      </c>
      <c r="H71" s="43">
        <v>-56690</v>
      </c>
      <c r="I71" s="43">
        <f>IF(H71="", "", J71-H71)</f>
        <v>-8971</v>
      </c>
      <c r="J71" s="43">
        <f>IF(ISBLANK(Projection!P68), "", Projection!P68)</f>
        <v>-65661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0.0</v>
      </c>
      <c r="D76" s="43">
        <v>1149.0</v>
      </c>
      <c r="E76" s="43">
        <v>0.0</v>
      </c>
      <c r="F76" s="43">
        <f>D76+E76</f>
        <v>1149</v>
      </c>
      <c r="G76" s="43">
        <v>6000</v>
      </c>
      <c r="H76" s="43">
        <v>6000</v>
      </c>
      <c r="I76" s="43">
        <f>IF(H76="", "", J76-H76)</f>
        <v>0</v>
      </c>
      <c r="J76" s="43">
        <f>IF(ISBLANK(Projection!P73), "", Projection!P73)</f>
        <v>6000</v>
      </c>
      <c r="K76" s="43">
        <f>IF(ISBLANK('Committed Cost'!P73), "", 'Committed Cost'!P73)</f>
        <v>5046.279</v>
      </c>
      <c r="L76" s="37">
        <f>IFERROR(IF(ISBLANK(F76), "", K76/F76), 0)</f>
        <v>4.3918877284595</v>
      </c>
      <c r="M76" s="43">
        <f>IF(F76="", "", F76-K76)</f>
        <v>-3897.279</v>
      </c>
      <c r="N76" s="43">
        <f>IF(ISBLANK(Accrual!P73), "", Accrual!P73)</f>
        <v>5046.279</v>
      </c>
      <c r="O76" s="43">
        <f>IF(ISBLANK('Cash Flow'!P73), "",'Cash Flow'!P73)</f>
        <v>597.279</v>
      </c>
      <c r="P76" s="37">
        <f>IFERROR(IF(O76="", "", O76/K76), 0)</f>
        <v>0.11836028091194</v>
      </c>
      <c r="Q76" s="44">
        <f>IF(K76="", "", K76-O76)</f>
        <v>4449</v>
      </c>
    </row>
    <row r="77" spans="1:18" customHeight="1" ht="12.75">
      <c r="A77" s="18" t="s">
        <v>147</v>
      </c>
      <c r="B77" s="4" t="s">
        <v>148</v>
      </c>
      <c r="C77" s="43">
        <v>3220.0</v>
      </c>
      <c r="D77" s="43">
        <v>6777.0</v>
      </c>
      <c r="E77" s="43">
        <v>0.0</v>
      </c>
      <c r="F77" s="43">
        <f>D77+E77</f>
        <v>6777</v>
      </c>
      <c r="G77" s="43">
        <v>44250</v>
      </c>
      <c r="H77" s="43">
        <v>44250</v>
      </c>
      <c r="I77" s="43">
        <f>IF(H77="", "", J77-H77)</f>
        <v>150</v>
      </c>
      <c r="J77" s="43">
        <f>IF(ISBLANK(Projection!P74), "", Projection!P74)</f>
        <v>44400</v>
      </c>
      <c r="K77" s="43">
        <f>IF(ISBLANK('Committed Cost'!P74), "", 'Committed Cost'!P74)</f>
        <v>36821.7454</v>
      </c>
      <c r="L77" s="37">
        <f>IFERROR(IF(ISBLANK(F77), "", K77/F77), 0)</f>
        <v>5.4333400324627</v>
      </c>
      <c r="M77" s="43">
        <f>IF(F77="", "", F77-K77)</f>
        <v>-30044.7454</v>
      </c>
      <c r="N77" s="43">
        <f>IF(ISBLANK(Accrual!P74), "", Accrual!P74)</f>
        <v>19882.85571</v>
      </c>
      <c r="O77" s="43">
        <f>IF(ISBLANK('Cash Flow'!P74), "",'Cash Flow'!P74)</f>
        <v>17926.23878</v>
      </c>
      <c r="P77" s="37">
        <f>IFERROR(IF(O77="", "", O77/K77), 0)</f>
        <v>0.48683837730299</v>
      </c>
      <c r="Q77" s="44">
        <f>IF(K77="", "", K77-O77)</f>
        <v>18895.50662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189.5</v>
      </c>
      <c r="E78" s="43">
        <v>0.0</v>
      </c>
      <c r="F78" s="43">
        <f>D78+E78</f>
        <v>189.5</v>
      </c>
      <c r="G78" s="43">
        <v>924</v>
      </c>
      <c r="H78" s="43">
        <v>924</v>
      </c>
      <c r="I78" s="43">
        <f>IF(H78="", "", J78-H78)</f>
        <v>2</v>
      </c>
      <c r="J78" s="43">
        <f>IF(ISBLANK(Projection!P75), "", Projection!P75)</f>
        <v>926</v>
      </c>
      <c r="K78" s="43">
        <f>IF(ISBLANK('Committed Cost'!P75), "", 'Committed Cost'!P75)</f>
        <v>925.04926</v>
      </c>
      <c r="L78" s="37">
        <f>IFERROR(IF(ISBLANK(F78), "", K78/F78), 0)</f>
        <v>4.8815264379947</v>
      </c>
      <c r="M78" s="43">
        <f>IF(F78="", "", F78-K78)</f>
        <v>-735.54926</v>
      </c>
      <c r="N78" s="43">
        <f>IF(ISBLANK(Accrual!P75), "", Accrual!P75)</f>
        <v>917.90673</v>
      </c>
      <c r="O78" s="43">
        <f>IF(ISBLANK('Cash Flow'!P75), "",'Cash Flow'!P75)</f>
        <v>914.72673</v>
      </c>
      <c r="P78" s="37">
        <f>IFERROR(IF(O78="", "", O78/K78), 0)</f>
        <v>0.98884110236465</v>
      </c>
      <c r="Q78" s="44">
        <f>IF(K78="", "", K78-O78)</f>
        <v>10.32253</v>
      </c>
    </row>
    <row r="79" spans="1:18" customHeight="1" ht="12.75" hidden="true">
      <c r="A79" s="18" t="s">
        <v>151</v>
      </c>
      <c r="B79" s="4" t="s">
        <v>152</v>
      </c>
      <c r="C79" s="43">
        <v>0</v>
      </c>
      <c r="D79" s="43">
        <v>0</v>
      </c>
      <c r="E79" s="43">
        <v>0</v>
      </c>
      <c r="F79" s="43">
        <f>D79+E79</f>
        <v>0</v>
      </c>
      <c r="G79" s="43">
        <v>0</v>
      </c>
      <c r="H79" s="43">
        <v>0</v>
      </c>
      <c r="I79" s="43">
        <f>IF(H79="", "", J79-H79)</f>
        <v>0</v>
      </c>
      <c r="J79" s="43">
        <f>IF(ISBLANK(Projection!P76), "", Projection!P76)</f>
        <v>0</v>
      </c>
      <c r="K79" s="43">
        <f>IF(ISBLANK('Committed Cost'!P76), "", 'Committed Cost'!P76)</f>
        <v>0</v>
      </c>
      <c r="L79" s="37">
        <f>IFERROR(IF(ISBLANK(F79), "", K79/F79), 0)</f>
        <v>0</v>
      </c>
      <c r="M79" s="43">
        <f>IF(F79="", "", F79-K79)</f>
        <v>0</v>
      </c>
      <c r="N79" s="43">
        <f>IF(ISBLANK(Accrual!P76), "", Accrual!P76)</f>
        <v>0</v>
      </c>
      <c r="O79" s="43">
        <f>IF(ISBLANK('Cash Flow'!P76), "",'Cash Flow'!P76)</f>
        <v>0</v>
      </c>
      <c r="P79" s="37">
        <f>IFERROR(IF(O79="", "", O79/K79), 0)</f>
        <v>0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</v>
      </c>
      <c r="D80" s="43">
        <v>0</v>
      </c>
      <c r="E80" s="43">
        <v>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990</v>
      </c>
      <c r="H82" s="43">
        <v>990</v>
      </c>
      <c r="I82" s="43">
        <f>IF(H82="", "", J82-H82)</f>
        <v>16</v>
      </c>
      <c r="J82" s="43">
        <f>IF(ISBLANK(Projection!P79), "", Projection!P79)</f>
        <v>1006</v>
      </c>
      <c r="K82" s="43">
        <f>IF(ISBLANK('Committed Cost'!P79), "", 'Committed Cost'!P79)</f>
        <v>1005.05992</v>
      </c>
      <c r="L82" s="37">
        <f>IFERROR(IF(ISBLANK(F82), "", K82/F82), 0)</f>
        <v>0</v>
      </c>
      <c r="M82" s="43">
        <f>IF(F82="", "", F82-K82)</f>
        <v>-1005.05992</v>
      </c>
      <c r="N82" s="43">
        <f>IF(ISBLANK(Accrual!P79), "", Accrual!P79)</f>
        <v>1005.05992</v>
      </c>
      <c r="O82" s="43">
        <f>IF(ISBLANK('Cash Flow'!P79), "",'Cash Flow'!P79)</f>
        <v>1005.05992</v>
      </c>
      <c r="P82" s="37">
        <f>IFERROR(IF(O82="", "", O82/K82), 0)</f>
        <v>1</v>
      </c>
      <c r="Q82" s="44">
        <f>IF(K82="", "", K82-O82)</f>
        <v>0</v>
      </c>
    </row>
    <row r="83" spans="1:18" customHeight="1" ht="12.75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-24803</v>
      </c>
      <c r="H83" s="43">
        <v>-24803</v>
      </c>
      <c r="I83" s="43">
        <f>IF(H83="", "", J83-H83)</f>
        <v>-210</v>
      </c>
      <c r="J83" s="43">
        <f>IF(ISBLANK(Projection!P80), "", Projection!P80)</f>
        <v>-25013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99817.041</v>
      </c>
      <c r="D86" s="43">
        <v>101834.527</v>
      </c>
      <c r="E86" s="43">
        <v>0.0</v>
      </c>
      <c r="F86" s="43">
        <f>D86+E86</f>
        <v>101834.527</v>
      </c>
      <c r="G86" s="43">
        <v>190240.714</v>
      </c>
      <c r="H86" s="43">
        <v>190240.714</v>
      </c>
      <c r="I86" s="43">
        <f>IF(H86="", "", J86-H86)</f>
        <v>0</v>
      </c>
      <c r="J86" s="43">
        <f>IF(ISBLANK(Projection!P83), "", Projection!P83)</f>
        <v>190240.714</v>
      </c>
      <c r="K86" s="43">
        <f>IF(ISBLANK('Committed Cost'!P83), "", 'Committed Cost'!P83)</f>
        <v>180211.93405</v>
      </c>
      <c r="L86" s="37">
        <f>IFERROR(IF(ISBLANK(F86), "", K86/F86), 0)</f>
        <v>1.769654549974</v>
      </c>
      <c r="M86" s="43">
        <f>IF(F86="", "", F86-K86)</f>
        <v>-78377.40705</v>
      </c>
      <c r="N86" s="43">
        <f>IF(ISBLANK(Accrual!P83), "", Accrual!P83)</f>
        <v>143859.78181</v>
      </c>
      <c r="O86" s="43">
        <f>IF(ISBLANK('Cash Flow'!P83), "",'Cash Flow'!P83)</f>
        <v>138399.35169</v>
      </c>
      <c r="P86" s="37">
        <f>IFERROR(IF(O86="", "", O86/K86), 0)</f>
        <v>0.76798105752309</v>
      </c>
      <c r="Q86" s="44">
        <f>IF(K86="", "", K86-O86)</f>
        <v>41812.58236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34000</v>
      </c>
      <c r="H87" s="43">
        <v>34000</v>
      </c>
      <c r="I87" s="43">
        <f>IF(H87="", "", J87-H87)</f>
        <v>7473</v>
      </c>
      <c r="J87" s="43">
        <f>IF(ISBLANK(Projection!P84), "", Projection!P84)</f>
        <v>41473</v>
      </c>
      <c r="K87" s="43">
        <f>IF(ISBLANK('Committed Cost'!P84), "", 'Committed Cost'!P84)</f>
        <v>41435.47978</v>
      </c>
      <c r="L87" s="37">
        <f>IFERROR(IF(ISBLANK(F87), "", K87/F87), 0)</f>
        <v>0</v>
      </c>
      <c r="M87" s="43">
        <f>IF(F87="", "", F87-K87)</f>
        <v>-41435.47978</v>
      </c>
      <c r="N87" s="43">
        <f>IF(ISBLANK(Accrual!P84), "", Accrual!P84)</f>
        <v>36397.16273</v>
      </c>
      <c r="O87" s="43">
        <f>IF(ISBLANK('Cash Flow'!P84), "",'Cash Flow'!P84)</f>
        <v>32867.68401</v>
      </c>
      <c r="P87" s="37">
        <f>IFERROR(IF(O87="", "", O87/K87), 0)</f>
        <v>0.79322561689908</v>
      </c>
      <c r="Q87" s="44">
        <f>IF(K87="", "", K87-O87)</f>
        <v>8567.79577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-278.3088</v>
      </c>
      <c r="O89" s="43">
        <f>IF(ISBLANK('Cash Flow'!P86), "",'Cash Flow'!P86)</f>
        <v>1417.02622</v>
      </c>
      <c r="P89" s="37">
        <f>IFERROR(IF(O89="", "", O89/K89), 0)</f>
        <v>0</v>
      </c>
      <c r="Q89" s="44">
        <f>IF(K89="", "", K89-O89)</f>
        <v>-1417.02622</v>
      </c>
    </row>
    <row r="90" spans="1:18" customHeight="1" ht="12.75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243</v>
      </c>
      <c r="P90" s="37">
        <f>IFERROR(IF(O90="", "", O90/K90), 0)</f>
        <v>0</v>
      </c>
      <c r="Q90" s="44">
        <f>IF(K90="", "", K90-O90)</f>
        <v>-243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-7187.73819</v>
      </c>
      <c r="P91" s="37">
        <f>IFERROR(IF(O91="", "", O91/K91), 0)</f>
        <v>0</v>
      </c>
      <c r="Q91" s="44">
        <f>IF(K91="", "", K91-O91)</f>
        <v>7187.73819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-53990</v>
      </c>
      <c r="H92" s="43">
        <v>-53990</v>
      </c>
      <c r="I92" s="43">
        <f>IF(H92="", "", J92-H92)</f>
        <v>-210</v>
      </c>
      <c r="J92" s="43">
        <f>IF(ISBLANK(Projection!P89), "", Projection!P89)</f>
        <v>-54200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</v>
      </c>
      <c r="D93" s="43">
        <v>0</v>
      </c>
      <c r="E93" s="43">
        <v>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 hidden="true">
      <c r="A94" s="18" t="s">
        <v>180</v>
      </c>
      <c r="B94" s="4" t="s">
        <v>181</v>
      </c>
      <c r="C94" s="43">
        <v>0.0</v>
      </c>
      <c r="D94" s="43">
        <v>0.0</v>
      </c>
      <c r="E94" s="43">
        <v>0.0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 hidden="true">
      <c r="A95" s="18">
        <v>2.5</v>
      </c>
      <c r="B95" s="4" t="s">
        <v>182</v>
      </c>
      <c r="C95" s="43">
        <v>0</v>
      </c>
      <c r="D95" s="43">
        <v>0</v>
      </c>
      <c r="E95" s="43">
        <v>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0.0</v>
      </c>
      <c r="D99" s="43">
        <v>0.0</v>
      </c>
      <c r="E99" s="43">
        <v>0.0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214351.607</v>
      </c>
      <c r="D110" s="47">
        <f>SUM(D41:D109)</f>
        <v>241262.453</v>
      </c>
      <c r="E110" s="47">
        <f>SUM(E41:E109)</f>
        <v>0</v>
      </c>
      <c r="F110" s="47">
        <f>SUM(F41:F109)</f>
        <v>241262.453</v>
      </c>
      <c r="G110" s="47">
        <f>SUM(G41:G109)</f>
        <v>420291.14400128</v>
      </c>
      <c r="H110" s="47">
        <f>SUM(H41:H109)</f>
        <v>420291.14400128</v>
      </c>
      <c r="I110" s="47">
        <f>IF(H110="", "", J110-H110)</f>
        <v>-0.060000000055879</v>
      </c>
      <c r="J110" s="47">
        <f>IF(ISBLANK(Projection!P107), "", Projection!P107)</f>
        <v>420291.08400128</v>
      </c>
      <c r="K110" s="47">
        <f>IF(ISBLANK('Committed Cost'!P107), "", 'Committed Cost'!P107)</f>
        <v>537876.72576</v>
      </c>
      <c r="L110" s="39">
        <f>IFERROR(IF(ISBLANK(F110), "", K110/F110), 0)</f>
        <v>2.2294257522118</v>
      </c>
      <c r="M110" s="47">
        <f>IF(F110="", "", F110-K110)</f>
        <v>-296614.27276</v>
      </c>
      <c r="N110" s="47">
        <f>IF(ISBLANK(Accrual!P107), "", Accrual!P107)</f>
        <v>442547.43224</v>
      </c>
      <c r="O110" s="47">
        <f>IF(ISBLANK('Cash Flow'!P107), "",'Cash Flow'!P107)</f>
        <v>421787.51565</v>
      </c>
      <c r="P110" s="39">
        <f>IFERROR(IF(O110="", "", O110/K110), 0)</f>
        <v>0.78417134530971</v>
      </c>
      <c r="Q110" s="48">
        <f>IF(K110="", "", K110-O110)</f>
        <v>116089.21011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14582.583</v>
      </c>
      <c r="D112" s="49">
        <f>D39-D110</f>
        <v>14582.577</v>
      </c>
      <c r="E112" s="49">
        <f>E39-E110</f>
        <v>0</v>
      </c>
      <c r="F112" s="49">
        <f>F39-F110</f>
        <v>14582.577</v>
      </c>
      <c r="G112" s="49">
        <f>G39-G110</f>
        <v>7989.2938267199</v>
      </c>
      <c r="H112" s="49">
        <f>H39-H110</f>
        <v>7989.2938267199</v>
      </c>
      <c r="I112" s="49">
        <f>IF(H112="", "", J112-H112)</f>
        <v>0.060000000055879</v>
      </c>
      <c r="J112" s="49">
        <f>IF(ISBLANK(Projection!P109), "", Projection!P109)</f>
        <v>7989.35382672</v>
      </c>
      <c r="K112" s="49">
        <f>IF(ISBLANK('Committed Cost'!P109), "", 'Committed Cost'!P109)</f>
        <v>-239990.09533</v>
      </c>
      <c r="L112" s="40">
        <f>IFERROR(IF(ISBLANK(F112), "", K112/F112), 0)</f>
        <v>-16.457317203262</v>
      </c>
      <c r="M112" s="49">
        <f>IF(F112="", "", F112-K112)</f>
        <v>254572.67233</v>
      </c>
      <c r="N112" s="49">
        <f>IF(ISBLANK(Accrual!P109), "", Accrual!P109)</f>
        <v>-14267.54198</v>
      </c>
      <c r="O112" s="49">
        <f>IF(ISBLANK('Cash Flow'!P109), "",'Cash Flow'!P109)</f>
        <v>6492.1705</v>
      </c>
      <c r="P112" s="40">
        <f>IFERROR(IF(O112="", "", O112/K112), 0)</f>
        <v>-0.027051826830907</v>
      </c>
      <c r="Q112" s="50">
        <f>IF(K112="", "", K112-O112)</f>
        <v>-246482.26583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 hidden="true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0</v>
      </c>
      <c r="H117" s="43"/>
      <c r="I117" s="43" t="str">
        <f>IF(H117="", "", J117-H117)</f>
        <v/>
      </c>
      <c r="J117" s="43">
        <f>IF(ISBLANK(Projection!P114), "", Projection!P114)</f>
        <v>0</v>
      </c>
      <c r="K117" s="43">
        <f>IF(ISBLANK('Committed Cost'!P114), "", 'Committed Cost'!P114)</f>
        <v>0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0</v>
      </c>
      <c r="O117" s="43">
        <f>IF(ISBLANK('Cash Flow'!P114), "",'Cash Flow'!P114)</f>
        <v>0</v>
      </c>
      <c r="P117" s="37">
        <f>IFERROR(IF(O117="", "", O117/K117), 0)</f>
        <v>0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-990</v>
      </c>
      <c r="H119" s="43"/>
      <c r="I119" s="43" t="str">
        <f>IF(H119="", "", J119-H119)</f>
        <v/>
      </c>
      <c r="J119" s="43">
        <f>IF(ISBLANK(Projection!P116), "", Projection!P116)</f>
        <v>-1006</v>
      </c>
      <c r="K119" s="43">
        <f>IF(ISBLANK('Committed Cost'!P116), "", 'Committed Cost'!P116)</f>
        <v>-1005.05992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-1005.05992</v>
      </c>
      <c r="O119" s="43">
        <f>IF(ISBLANK('Cash Flow'!P116), "",'Cash Flow'!P116)</f>
        <v>-1005.05992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2862.94332681</v>
      </c>
      <c r="K121" s="45">
        <f>IF(ISBLANK('Committed Cost'!P118), "", 'Committed Cost'!P118)</f>
        <v>2862.94332681</v>
      </c>
      <c r="L121" s="38">
        <f>IFERROR(IF(ISBLANK(F121), "", K121/F121), 0)</f>
        <v>0</v>
      </c>
      <c r="M121" s="45">
        <f>IF(F121="", "", F121-K121)</f>
        <v>-2862.94332681</v>
      </c>
      <c r="N121" s="43">
        <f>IF(ISBLANK(Accrual!P118), "", Accrual!P118)</f>
        <v>2862.94332681</v>
      </c>
      <c r="O121" s="43">
        <f>IF(ISBLANK('Cash Flow'!P118), "",'Cash Flow'!P118)</f>
        <v>2862.9433268082</v>
      </c>
      <c r="P121" s="38">
        <f>IFERROR(IF(O121="", "", O121/K121), 0)</f>
        <v>0.99999999999939</v>
      </c>
      <c r="Q121" s="46">
        <f>IF(K121="", "", K121-O121)</f>
        <v>1.7530510376673E-9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-990</v>
      </c>
      <c r="H122" s="47"/>
      <c r="I122" s="47" t="str">
        <f>IF(H122="", "", J122-H122)</f>
        <v/>
      </c>
      <c r="J122" s="47">
        <f>IF(ISBLANK(Projection!P119), "", Projection!P119)</f>
        <v>1856.94332681</v>
      </c>
      <c r="K122" s="47">
        <f>IF(ISBLANK('Committed Cost'!P119), "", 'Committed Cost'!P119)</f>
        <v>1857.88340681</v>
      </c>
      <c r="L122" s="39">
        <f>IFERROR(IF(ISBLANK(F122), "", K122/F122), 0)</f>
        <v>0</v>
      </c>
      <c r="M122" s="47">
        <f>IF(F122="", "", F122-K122)</f>
        <v>-1857.88340681</v>
      </c>
      <c r="N122" s="47">
        <f>IF(ISBLANK(Accrual!P119), "", Accrual!P119)</f>
        <v>1857.88340681</v>
      </c>
      <c r="O122" s="47">
        <f>IF(ISBLANK('Cash Flow'!P119), "",'Cash Flow'!P119)</f>
        <v>1857.8834068082</v>
      </c>
      <c r="P122" s="39">
        <f>IFERROR(IF(O122="", "", O122/K122), 0)</f>
        <v>0.99999999999906</v>
      </c>
      <c r="Q122" s="48">
        <f>IF(K122="", "", K122-O122)</f>
        <v>1.7530510376673E-9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14582.583</v>
      </c>
      <c r="D124" s="49">
        <f>D112-D122</f>
        <v>14582.577</v>
      </c>
      <c r="E124" s="49">
        <f>E112-E122</f>
        <v>0</v>
      </c>
      <c r="F124" s="49">
        <f>F112-F122</f>
        <v>14582.577</v>
      </c>
      <c r="G124" s="49">
        <f>G112-G122</f>
        <v>8979.2938267199</v>
      </c>
      <c r="H124" s="49"/>
      <c r="I124" s="49" t="str">
        <f>IF(H124="", "", J124-H124)</f>
        <v/>
      </c>
      <c r="J124" s="49">
        <f>IF(ISBLANK(Projection!P121), "", Projection!P121)</f>
        <v>6132.41049991</v>
      </c>
      <c r="K124" s="49">
        <f>IF(ISBLANK('Committed Cost'!P121), "", 'Committed Cost'!P121)</f>
        <v>-241847.97873681</v>
      </c>
      <c r="L124" s="40">
        <f>IFERROR(IF(ISBLANK(F124), "", K124/F124), 0)</f>
        <v>-16.584721530139</v>
      </c>
      <c r="M124" s="49">
        <f>IF(F124="", "", F124-K124)</f>
        <v>256430.55573681</v>
      </c>
      <c r="N124" s="49">
        <f>IF(ISBLANK(Accrual!P121), "", Accrual!P121)</f>
        <v>-16125.42538681</v>
      </c>
      <c r="O124" s="49">
        <f>IF(ISBLANK('Cash Flow'!P121), "",'Cash Flow'!P121)</f>
        <v>4634.2870931918</v>
      </c>
      <c r="P124" s="40">
        <f>IFERROR(IF(O124="", "", O124/K124), 0)</f>
        <v>-0.019161983976037</v>
      </c>
      <c r="Q124" s="50">
        <f>IF(K124="", "", K124-O124)</f>
        <v>-246482.26583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13736.0514</v>
      </c>
      <c r="D128" s="43">
        <f>(D39-D21-D23-D36)*D127</f>
        <v>15350.7018</v>
      </c>
      <c r="E128" s="43">
        <f>(E39-E21-E23-E36)*E127</f>
        <v>0</v>
      </c>
      <c r="F128" s="43">
        <f>(F39-F21-F23-F36)*F127</f>
        <v>15350.7018</v>
      </c>
      <c r="G128" s="43">
        <f>(G39-G21-G23-G36)*G127</f>
        <v>25696.82626968</v>
      </c>
      <c r="H128" s="43"/>
      <c r="I128" s="43" t="str">
        <f>IF(H128="", "", J128-H128)</f>
        <v/>
      </c>
      <c r="J128" s="43">
        <f>IF(ISBLANK(Projection!P125), "", Projection!P125)</f>
        <v>12848.41313484</v>
      </c>
      <c r="K128" s="43">
        <f>IF(ISBLANK('Committed Cost'!P125), "", 'Committed Cost'!P125)</f>
        <v>8936.5989129</v>
      </c>
      <c r="L128" s="37">
        <f>IFERROR(IF(ISBLANK(F128), "", K128/F128), 0)</f>
        <v>0.58216223787892</v>
      </c>
      <c r="M128" s="43">
        <f>IF(F128="", "", F128-K128)</f>
        <v>6414.1028871</v>
      </c>
      <c r="N128" s="43">
        <f>IF(ISBLANK(Accrual!P125), "", Accrual!P125)</f>
        <v>12920.0667078</v>
      </c>
      <c r="O128" s="43">
        <f>IF(ISBLANK('Cash Flow'!P125), "",'Cash Flow'!P125)</f>
        <v>12920.0605845</v>
      </c>
      <c r="P128" s="37">
        <f>IFERROR(IF(O128="", "", O128/K128), 0)</f>
        <v>1.4457469458375</v>
      </c>
      <c r="Q128" s="44">
        <f>IF(K128="", "", K128-O128)</f>
        <v>-3983.4616716</v>
      </c>
    </row>
    <row r="129" spans="1:18" customHeight="1" ht="12.75">
      <c r="A129" s="18" t="s">
        <v>216</v>
      </c>
      <c r="B129" s="4" t="s">
        <v>217</v>
      </c>
      <c r="C129" s="43">
        <f>(C39-C21-C23-C36)*0.020000</f>
        <v>4578.6838</v>
      </c>
      <c r="D129" s="43">
        <f>(D39-D21-D23-D36)*0.020000</f>
        <v>5116.9006</v>
      </c>
      <c r="E129" s="43">
        <f>(E39-E21-E23-E36)*0.020000</f>
        <v>0</v>
      </c>
      <c r="F129" s="43">
        <f>(F39-F21-F23-F36)*0.020000</f>
        <v>5116.9006</v>
      </c>
      <c r="G129" s="43">
        <f>(G39-G21-G23-G36)*0.020000</f>
        <v>8565.60875656</v>
      </c>
      <c r="H129" s="43"/>
      <c r="I129" s="43" t="str">
        <f>IF(H129="", "", J129-H129)</f>
        <v/>
      </c>
      <c r="J129" s="43">
        <f>IF(ISBLANK(Projection!P126), "", Projection!P126)</f>
        <v>8565.60875656</v>
      </c>
      <c r="K129" s="43">
        <f>IF(ISBLANK('Committed Cost'!P126), "", 'Committed Cost'!P126)</f>
        <v>5957.7326086</v>
      </c>
      <c r="L129" s="37">
        <f>IFERROR(IF(ISBLANK(F129), "", K129/F129), 0)</f>
        <v>1.1643244757578</v>
      </c>
      <c r="M129" s="43">
        <f>IF(F129="", "", F129-K129)</f>
        <v>-840.8320086</v>
      </c>
      <c r="N129" s="43">
        <f>IF(ISBLANK(Accrual!P126), "", Accrual!P126)</f>
        <v>8565.5978052</v>
      </c>
      <c r="O129" s="43">
        <f>IF(ISBLANK('Cash Flow'!P126), "",'Cash Flow'!P126)</f>
        <v>8565.593723</v>
      </c>
      <c r="P129" s="37">
        <f>IFERROR(IF(O129="", "", O129/K129), 0)</f>
        <v>1.4377271162918</v>
      </c>
      <c r="Q129" s="44">
        <f>IF(K129="", "", K129-O129)</f>
        <v>-2607.8611144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-3732.1522</v>
      </c>
      <c r="D132" s="51">
        <f>D124-SUM(D128:D129)+IF(ISBLANK(D130), 0, D130)</f>
        <v>-5885.0254</v>
      </c>
      <c r="E132" s="51">
        <f>E124-SUM(E128:E129)+IF(ISBLANK(E130), 0, E130)</f>
        <v>0</v>
      </c>
      <c r="F132" s="51">
        <f>F124-SUM(F128:F129)+IF(ISBLANK(F130), 0, F130)</f>
        <v>-5885.0254</v>
      </c>
      <c r="G132" s="51">
        <f>G124-SUM(G128:G129)+IF(ISBLANK(G130), 0, G130)</f>
        <v>-25283.14119952</v>
      </c>
      <c r="H132" s="51"/>
      <c r="I132" s="51" t="str">
        <f>IF(H132="", "", J132-H132)</f>
        <v/>
      </c>
      <c r="J132" s="51">
        <f>IF(ISBLANK(Projection!P129), "", Projection!P129)</f>
        <v>-15281.61139149</v>
      </c>
      <c r="K132" s="51">
        <f>IF(ISBLANK('Committed Cost'!P129), "", 'Committed Cost'!P129)</f>
        <v>-256742.31025831</v>
      </c>
      <c r="L132" s="41">
        <f>IFERROR(IF(ISBLANK(F132), "", K132/F132), 0)</f>
        <v>43.626372497612</v>
      </c>
      <c r="M132" s="51">
        <f>IF(F132="", "", F132-K132)</f>
        <v>250857.28485831</v>
      </c>
      <c r="N132" s="51">
        <f>IF(ISBLANK(Accrual!P129), "", Accrual!P129)</f>
        <v>-37611.08989981</v>
      </c>
      <c r="O132" s="51">
        <f>IF(ISBLANK('Cash Flow'!P129), "",'Cash Flow'!P129)</f>
        <v>-16851.367214308</v>
      </c>
      <c r="P132" s="41">
        <f>IFERROR(IF(O132="", "", O132/K132), 0)</f>
        <v>0.065635333721793</v>
      </c>
      <c r="Q132" s="52">
        <f>IF(K132="", "", K132-O132)</f>
        <v>-239890.943044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968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205000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205000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126723.398828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126723.398828</v>
      </c>
    </row>
    <row r="17" spans="1:16" customHeight="1" ht="12.75">
      <c r="A17" s="18" t="s">
        <v>54</v>
      </c>
      <c r="B17" s="4" t="s">
        <v>55</v>
      </c>
      <c r="C17" s="43">
        <v>25480.08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25480.08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52516.54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52516.54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3067.819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3067.819</v>
      </c>
    </row>
    <row r="29" spans="1:16" customHeight="1" ht="12.75">
      <c r="A29" s="18" t="s">
        <v>69</v>
      </c>
      <c r="B29" s="4" t="s">
        <v>70</v>
      </c>
      <c r="C29" s="43">
        <v>15492.6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15492.6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428280.437828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428280.437828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80028.454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80028.454</v>
      </c>
    </row>
    <row r="41" spans="1:16" customHeight="1" ht="12.75">
      <c r="A41" s="18" t="s">
        <v>83</v>
      </c>
      <c r="B41" s="4" t="s">
        <v>84</v>
      </c>
      <c r="C41" s="43">
        <v>25</v>
      </c>
      <c r="D41" s="43">
        <v>0</v>
      </c>
      <c r="E41" s="43">
        <v>0</v>
      </c>
      <c r="F41" s="43">
        <v>0</v>
      </c>
      <c r="G41" s="43">
        <v>20</v>
      </c>
      <c r="H41" s="43">
        <v>30</v>
      </c>
      <c r="I41" s="43">
        <v>30</v>
      </c>
      <c r="J41" s="43">
        <v>0</v>
      </c>
      <c r="K41" s="43">
        <v>0</v>
      </c>
      <c r="L41" s="43">
        <v>90</v>
      </c>
      <c r="M41" s="43"/>
      <c r="N41" s="43"/>
      <c r="O41" s="43"/>
      <c r="P41" s="44">
        <f>SUM(C41:O41)</f>
        <v>195</v>
      </c>
    </row>
    <row r="42" spans="1:16" customHeight="1" ht="12.75">
      <c r="A42" s="18" t="s">
        <v>85</v>
      </c>
      <c r="B42" s="4" t="s">
        <v>86</v>
      </c>
      <c r="C42" s="43">
        <v>250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250</v>
      </c>
    </row>
    <row r="43" spans="1:16" customHeight="1" ht="12.75">
      <c r="A43" s="18" t="s">
        <v>87</v>
      </c>
      <c r="B43" s="4" t="s">
        <v>88</v>
      </c>
      <c r="C43" s="43">
        <v>15643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15643</v>
      </c>
    </row>
    <row r="44" spans="1:16" customHeight="1" ht="12.75">
      <c r="A44" s="18" t="s">
        <v>89</v>
      </c>
      <c r="B44" s="4" t="s">
        <v>90</v>
      </c>
      <c r="C44" s="43">
        <v>3191.00000128</v>
      </c>
      <c r="D44" s="43">
        <v>300</v>
      </c>
      <c r="E44" s="43">
        <v>50</v>
      </c>
      <c r="F44" s="43">
        <v>50</v>
      </c>
      <c r="G44" s="43">
        <v>0</v>
      </c>
      <c r="H44" s="43">
        <v>0</v>
      </c>
      <c r="I44" s="43">
        <v>30</v>
      </c>
      <c r="J44" s="43">
        <v>500</v>
      </c>
      <c r="K44" s="43">
        <v>0</v>
      </c>
      <c r="L44" s="43">
        <v>0</v>
      </c>
      <c r="M44" s="43"/>
      <c r="N44" s="43"/>
      <c r="O44" s="43"/>
      <c r="P44" s="44">
        <f>SUM(C44:O44)</f>
        <v>4121.00000128</v>
      </c>
    </row>
    <row r="45" spans="1:16" customHeight="1" ht="12.75">
      <c r="A45" s="18" t="s">
        <v>91</v>
      </c>
      <c r="B45" s="4" t="s">
        <v>92</v>
      </c>
      <c r="C45" s="43">
        <v>38620</v>
      </c>
      <c r="D45" s="43">
        <v>50</v>
      </c>
      <c r="E45" s="43">
        <v>50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38720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2500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2500</v>
      </c>
    </row>
    <row r="48" spans="1:16" customHeight="1" ht="12.75">
      <c r="A48" s="18" t="s">
        <v>97</v>
      </c>
      <c r="B48" s="4" t="s">
        <v>98</v>
      </c>
      <c r="C48" s="43">
        <v>8956.305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8956.305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16197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16197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6150</v>
      </c>
      <c r="D54" s="43">
        <v>200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1000</v>
      </c>
      <c r="K54" s="43">
        <v>0</v>
      </c>
      <c r="L54" s="43">
        <v>0</v>
      </c>
      <c r="M54" s="43"/>
      <c r="N54" s="43"/>
      <c r="O54" s="43"/>
      <c r="P54" s="44">
        <f>SUM(C54:O54)</f>
        <v>7350</v>
      </c>
    </row>
    <row r="55" spans="1:16" customHeight="1" ht="12.75">
      <c r="A55" s="18" t="s">
        <v>110</v>
      </c>
      <c r="B55" s="4" t="s">
        <v>111</v>
      </c>
      <c r="C55" s="43">
        <v>2155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2155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6153.94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6153.94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98849.671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98849.671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-56040</v>
      </c>
      <c r="D68" s="43">
        <v>-550</v>
      </c>
      <c r="E68" s="43">
        <v>-100</v>
      </c>
      <c r="F68" s="43">
        <v>0</v>
      </c>
      <c r="G68" s="43">
        <v>-20</v>
      </c>
      <c r="H68" s="43">
        <v>0</v>
      </c>
      <c r="I68" s="43">
        <v>0</v>
      </c>
      <c r="J68" s="43">
        <v>-8861</v>
      </c>
      <c r="K68" s="43">
        <v>0</v>
      </c>
      <c r="L68" s="43">
        <v>-90</v>
      </c>
      <c r="M68" s="43"/>
      <c r="N68" s="43"/>
      <c r="O68" s="43"/>
      <c r="P68" s="44">
        <f>SUM(C68:O68)</f>
        <v>-65661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6000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6000</v>
      </c>
    </row>
    <row r="74" spans="1:16" customHeight="1" ht="12.75">
      <c r="A74" s="18" t="s">
        <v>147</v>
      </c>
      <c r="B74" s="4" t="s">
        <v>148</v>
      </c>
      <c r="C74" s="43">
        <v>44250</v>
      </c>
      <c r="D74" s="43">
        <v>0</v>
      </c>
      <c r="E74" s="43">
        <v>0</v>
      </c>
      <c r="F74" s="43">
        <v>0</v>
      </c>
      <c r="G74" s="43">
        <v>0</v>
      </c>
      <c r="H74" s="43">
        <v>150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44400</v>
      </c>
    </row>
    <row r="75" spans="1:16" customHeight="1" ht="12.75">
      <c r="A75" s="18" t="s">
        <v>149</v>
      </c>
      <c r="B75" s="4" t="s">
        <v>150</v>
      </c>
      <c r="C75" s="43">
        <v>904</v>
      </c>
      <c r="D75" s="43">
        <v>0</v>
      </c>
      <c r="E75" s="43">
        <v>20</v>
      </c>
      <c r="F75" s="43">
        <v>0</v>
      </c>
      <c r="G75" s="43">
        <v>0</v>
      </c>
      <c r="H75" s="43">
        <v>0</v>
      </c>
      <c r="I75" s="43">
        <v>1</v>
      </c>
      <c r="J75" s="43">
        <v>1</v>
      </c>
      <c r="K75" s="43">
        <v>0</v>
      </c>
      <c r="L75" s="43">
        <v>0</v>
      </c>
      <c r="M75" s="43"/>
      <c r="N75" s="43"/>
      <c r="O75" s="43"/>
      <c r="P75" s="44">
        <f>SUM(C75:O75)</f>
        <v>926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990</v>
      </c>
      <c r="D79" s="43">
        <v>0</v>
      </c>
      <c r="E79" s="43">
        <v>0</v>
      </c>
      <c r="F79" s="43">
        <v>0</v>
      </c>
      <c r="G79" s="43">
        <v>0</v>
      </c>
      <c r="H79" s="43">
        <v>13</v>
      </c>
      <c r="I79" s="43">
        <v>3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1006</v>
      </c>
    </row>
    <row r="80" spans="1:16" customHeight="1" ht="12.75">
      <c r="A80" s="18" t="s">
        <v>159</v>
      </c>
      <c r="B80" s="4" t="s">
        <v>160</v>
      </c>
      <c r="C80" s="43">
        <v>-24783</v>
      </c>
      <c r="D80" s="43">
        <v>0</v>
      </c>
      <c r="E80" s="43">
        <v>-20</v>
      </c>
      <c r="F80" s="43">
        <v>-50</v>
      </c>
      <c r="G80" s="43">
        <v>0</v>
      </c>
      <c r="H80" s="43">
        <v>-160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-25013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190240.714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190240.714</v>
      </c>
    </row>
    <row r="84" spans="1:16" customHeight="1" ht="12.75">
      <c r="A84" s="18" t="s">
        <v>166</v>
      </c>
      <c r="B84" s="4" t="s">
        <v>167</v>
      </c>
      <c r="C84" s="43">
        <v>33600</v>
      </c>
      <c r="D84" s="43">
        <v>0</v>
      </c>
      <c r="E84" s="43">
        <v>400</v>
      </c>
      <c r="F84" s="43">
        <v>0</v>
      </c>
      <c r="G84" s="43">
        <v>0</v>
      </c>
      <c r="H84" s="43">
        <v>7100</v>
      </c>
      <c r="I84" s="43">
        <v>223</v>
      </c>
      <c r="J84" s="43">
        <v>0</v>
      </c>
      <c r="K84" s="43">
        <v>0</v>
      </c>
      <c r="L84" s="43">
        <v>150</v>
      </c>
      <c r="M84" s="43"/>
      <c r="N84" s="43"/>
      <c r="O84" s="43"/>
      <c r="P84" s="44">
        <f>SUM(C84:O84)</f>
        <v>41473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-53590</v>
      </c>
      <c r="D89" s="43">
        <v>0</v>
      </c>
      <c r="E89" s="43">
        <v>-400</v>
      </c>
      <c r="F89" s="43">
        <v>0</v>
      </c>
      <c r="G89" s="43">
        <v>0</v>
      </c>
      <c r="H89" s="43">
        <v>-60</v>
      </c>
      <c r="I89" s="43">
        <v>0</v>
      </c>
      <c r="J89" s="43">
        <v>0</v>
      </c>
      <c r="K89" s="43">
        <v>0</v>
      </c>
      <c r="L89" s="43">
        <v>-150</v>
      </c>
      <c r="M89" s="43"/>
      <c r="N89" s="43"/>
      <c r="O89" s="43"/>
      <c r="P89" s="44">
        <f>SUM(C89:O89)</f>
        <v>-54200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420291.08400128</v>
      </c>
      <c r="D107" s="47">
        <f>SUM(D38:D106)</f>
        <v>0</v>
      </c>
      <c r="E107" s="47">
        <f>SUM(E38:E106)</f>
        <v>0</v>
      </c>
      <c r="F107" s="47">
        <f>SUM(F38:F106)</f>
        <v>0</v>
      </c>
      <c r="G107" s="47">
        <f>SUM(G38:G106)</f>
        <v>0</v>
      </c>
      <c r="H107" s="47">
        <f>SUM(H38:H106)</f>
        <v>7073</v>
      </c>
      <c r="I107" s="47">
        <f>SUM(I38:I106)</f>
        <v>287</v>
      </c>
      <c r="J107" s="47">
        <f>SUM(J38:J106)</f>
        <v>-7360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420291.08400128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7989.35382672</v>
      </c>
      <c r="D109" s="49">
        <f>D36-D107</f>
        <v>0</v>
      </c>
      <c r="E109" s="49">
        <f>E36-E107</f>
        <v>0</v>
      </c>
      <c r="F109" s="49">
        <f>F36-F107</f>
        <v>0</v>
      </c>
      <c r="G109" s="49">
        <f>G36-G107</f>
        <v>0</v>
      </c>
      <c r="H109" s="49">
        <f>H36-H107</f>
        <v>-7073</v>
      </c>
      <c r="I109" s="49">
        <f>I36-I107</f>
        <v>-287</v>
      </c>
      <c r="J109" s="49">
        <f>J36-J107</f>
        <v>7360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7989.35382672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-990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-13</v>
      </c>
      <c r="I116" s="43">
        <f>I79*-1</f>
        <v>-3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-1006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2058.437189</v>
      </c>
      <c r="D118" s="45">
        <v>97.20595494</v>
      </c>
      <c r="E118" s="45">
        <v>100.36932784</v>
      </c>
      <c r="F118" s="45">
        <v>103.62122746</v>
      </c>
      <c r="G118" s="45">
        <v>108.60881465</v>
      </c>
      <c r="H118" s="45">
        <v>109.32851196</v>
      </c>
      <c r="I118" s="45">
        <v>69.7644781</v>
      </c>
      <c r="J118" s="45">
        <v>71.29220359</v>
      </c>
      <c r="K118" s="45">
        <v>74.39293373</v>
      </c>
      <c r="L118" s="45">
        <v>69.92268554</v>
      </c>
      <c r="M118" s="45"/>
      <c r="N118" s="45"/>
      <c r="O118" s="45"/>
      <c r="P118" s="46">
        <f>SUM(C118:O118)</f>
        <v>2862.94332681</v>
      </c>
    </row>
    <row r="119" spans="1:16" customHeight="1" ht="12.75">
      <c r="A119" s="20">
        <v>4.3</v>
      </c>
      <c r="B119" s="15" t="s">
        <v>210</v>
      </c>
      <c r="C119" s="47">
        <f>SUM(C111:C118)</f>
        <v>1068.437189</v>
      </c>
      <c r="D119" s="47">
        <f>SUM(D111:D118)</f>
        <v>97.20595494</v>
      </c>
      <c r="E119" s="47">
        <f>SUM(E111:E118)</f>
        <v>100.36932784</v>
      </c>
      <c r="F119" s="47">
        <f>SUM(F111:F118)</f>
        <v>103.62122746</v>
      </c>
      <c r="G119" s="47">
        <f>SUM(G111:G118)</f>
        <v>108.60881465</v>
      </c>
      <c r="H119" s="47">
        <f>SUM(H111:H118)</f>
        <v>96.32851196</v>
      </c>
      <c r="I119" s="47">
        <f>SUM(I111:I118)</f>
        <v>66.7644781</v>
      </c>
      <c r="J119" s="47">
        <f>SUM(J111:J118)</f>
        <v>71.29220359</v>
      </c>
      <c r="K119" s="47">
        <f>SUM(K111:K118)</f>
        <v>74.39293373</v>
      </c>
      <c r="L119" s="47">
        <f>SUM(L111:L118)</f>
        <v>69.92268554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1856.94332681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6920.91663772</v>
      </c>
      <c r="D121" s="49">
        <f>D109-D119</f>
        <v>-97.20595494</v>
      </c>
      <c r="E121" s="49">
        <f>E109-E119</f>
        <v>-100.36932784</v>
      </c>
      <c r="F121" s="49">
        <f>F109-F119</f>
        <v>-103.62122746</v>
      </c>
      <c r="G121" s="49">
        <f>G109-G119</f>
        <v>-108.60881465</v>
      </c>
      <c r="H121" s="49">
        <f>H109-H119</f>
        <v>-7169.32851196</v>
      </c>
      <c r="I121" s="49">
        <f>I109-I119</f>
        <v>-353.7644781</v>
      </c>
      <c r="J121" s="49">
        <f>J109-J119</f>
        <v>7288.70779641</v>
      </c>
      <c r="K121" s="49">
        <f>K109-K119</f>
        <v>-74.39293373</v>
      </c>
      <c r="L121" s="49">
        <f>L109-L119</f>
        <v>-69.92268554</v>
      </c>
      <c r="M121" s="49"/>
      <c r="N121" s="49"/>
      <c r="O121" s="49"/>
      <c r="P121" s="50">
        <f>P109-P119</f>
        <v>6132.41049991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12848.41313484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12848.41313484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8565.60875656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8565.60875656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-14493.10525368</v>
      </c>
      <c r="D129" s="51">
        <f>D121-SUM(D125:D126)+IF(ISBLANK(D127), 0, D127)</f>
        <v>-97.20595494</v>
      </c>
      <c r="E129" s="51">
        <f>E121-SUM(E125:E126)+IF(ISBLANK(E127), 0, E127)</f>
        <v>-100.36932784</v>
      </c>
      <c r="F129" s="51">
        <f>F121-SUM(F125:F126)+IF(ISBLANK(F127), 0, F127)</f>
        <v>-103.62122746</v>
      </c>
      <c r="G129" s="51">
        <f>G121-SUM(G125:G126)+IF(ISBLANK(G127), 0, G127)</f>
        <v>-108.60881465</v>
      </c>
      <c r="H129" s="51">
        <f>H121-SUM(H125:H126)+IF(ISBLANK(H127), 0, H127)</f>
        <v>-7169.32851196</v>
      </c>
      <c r="I129" s="51">
        <f>I121-SUM(I125:I126)+IF(ISBLANK(I127), 0, I127)</f>
        <v>-353.7644781</v>
      </c>
      <c r="J129" s="51">
        <f>J121-SUM(J125:J126)+IF(ISBLANK(J127), 0, J127)</f>
        <v>7288.70779641</v>
      </c>
      <c r="K129" s="51">
        <f>K121-SUM(K125:K126)+IF(ISBLANK(K127), 0, K127)</f>
        <v>-74.39293373</v>
      </c>
      <c r="L129" s="51">
        <f>L121-SUM(L125:L126)+IF(ISBLANK(L127), 0, L127)</f>
        <v>-69.92268554</v>
      </c>
      <c r="M129" s="51"/>
      <c r="N129" s="51"/>
      <c r="O129" s="51"/>
      <c r="P129" s="52">
        <f>P121-SUM(P125:P126)+IF(ISBLANK(P127), 0, P127)</f>
        <v>-15281.61139149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968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205000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205000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71713.6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71713.6</v>
      </c>
    </row>
    <row r="17" spans="1:16" customHeight="1" ht="12.75">
      <c r="A17" s="18" t="s">
        <v>54</v>
      </c>
      <c r="B17" s="4" t="s">
        <v>55</v>
      </c>
      <c r="C17" s="43">
        <v>14311.16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14311.16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52429.896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52429.896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2966.76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2966.76</v>
      </c>
    </row>
    <row r="29" spans="1:16" customHeight="1" ht="12.75">
      <c r="A29" s="18" t="s">
        <v>69</v>
      </c>
      <c r="B29" s="4" t="s">
        <v>70</v>
      </c>
      <c r="C29" s="43">
        <v>-48534.78557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-48534.78557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297886.63043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297886.63043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79994.22265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79994.22265</v>
      </c>
    </row>
    <row r="41" spans="1:16" customHeight="1" ht="12.75">
      <c r="A41" s="18" t="s">
        <v>83</v>
      </c>
      <c r="B41" s="4" t="s">
        <v>84</v>
      </c>
      <c r="C41" s="43">
        <v>22.112</v>
      </c>
      <c r="D41" s="43">
        <v>-3</v>
      </c>
      <c r="E41" s="43">
        <v>3.94</v>
      </c>
      <c r="F41" s="43">
        <v>0</v>
      </c>
      <c r="G41" s="43">
        <v>12.69</v>
      </c>
      <c r="H41" s="43">
        <v>37.34763</v>
      </c>
      <c r="I41" s="43">
        <v>29.81</v>
      </c>
      <c r="J41" s="43">
        <v>-3.27</v>
      </c>
      <c r="K41" s="43">
        <v>3.94</v>
      </c>
      <c r="L41" s="43">
        <v>88.07</v>
      </c>
      <c r="M41" s="43"/>
      <c r="N41" s="43"/>
      <c r="O41" s="43"/>
      <c r="P41" s="44">
        <f>SUM(C41:O41)</f>
        <v>191.63963</v>
      </c>
    </row>
    <row r="42" spans="1:16" customHeight="1" ht="12.75">
      <c r="A42" s="18" t="s">
        <v>85</v>
      </c>
      <c r="B42" s="4" t="s">
        <v>86</v>
      </c>
      <c r="C42" s="43">
        <v>122.51203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122.51203</v>
      </c>
    </row>
    <row r="43" spans="1:16" customHeight="1" ht="12.75">
      <c r="A43" s="18" t="s">
        <v>87</v>
      </c>
      <c r="B43" s="4" t="s">
        <v>88</v>
      </c>
      <c r="C43" s="43">
        <v>15420.88798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15420.88798</v>
      </c>
    </row>
    <row r="44" spans="1:16" customHeight="1" ht="12.75">
      <c r="A44" s="18" t="s">
        <v>89</v>
      </c>
      <c r="B44" s="4" t="s">
        <v>90</v>
      </c>
      <c r="C44" s="43">
        <v>3092.86269</v>
      </c>
      <c r="D44" s="43">
        <v>431.9645</v>
      </c>
      <c r="E44" s="43">
        <v>47.604</v>
      </c>
      <c r="F44" s="43">
        <v>46.529</v>
      </c>
      <c r="G44" s="43">
        <v>0</v>
      </c>
      <c r="H44" s="43">
        <v>0</v>
      </c>
      <c r="I44" s="43">
        <v>0</v>
      </c>
      <c r="J44" s="43">
        <v>46.104</v>
      </c>
      <c r="K44" s="43">
        <v>441.61909</v>
      </c>
      <c r="L44" s="43">
        <v>0</v>
      </c>
      <c r="M44" s="43"/>
      <c r="N44" s="43"/>
      <c r="O44" s="43"/>
      <c r="P44" s="44">
        <f>SUM(C44:O44)</f>
        <v>4106.68328</v>
      </c>
    </row>
    <row r="45" spans="1:16" customHeight="1" ht="12.75">
      <c r="A45" s="18" t="s">
        <v>91</v>
      </c>
      <c r="B45" s="4" t="s">
        <v>92</v>
      </c>
      <c r="C45" s="43">
        <v>38610.27319</v>
      </c>
      <c r="D45" s="43">
        <v>42.37786</v>
      </c>
      <c r="E45" s="43">
        <v>47.103</v>
      </c>
      <c r="F45" s="43">
        <v>26.51151</v>
      </c>
      <c r="G45" s="43">
        <v>-43.2763</v>
      </c>
      <c r="H45" s="43">
        <v>-66.278</v>
      </c>
      <c r="I45" s="43">
        <v>-2672.6373</v>
      </c>
      <c r="J45" s="43">
        <v>9.54833</v>
      </c>
      <c r="K45" s="43">
        <v>136.666</v>
      </c>
      <c r="L45" s="43">
        <v>7.5809</v>
      </c>
      <c r="M45" s="43"/>
      <c r="N45" s="43"/>
      <c r="O45" s="43"/>
      <c r="P45" s="44">
        <f>SUM(C45:O45)</f>
        <v>36097.86919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2213.61862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2213.61862</v>
      </c>
    </row>
    <row r="48" spans="1:16" customHeight="1" ht="12.75">
      <c r="A48" s="18" t="s">
        <v>97</v>
      </c>
      <c r="B48" s="4" t="s">
        <v>98</v>
      </c>
      <c r="C48" s="43">
        <v>8912.43181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8912.43181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16158.19162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-4355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11803.19162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6146.0105</v>
      </c>
      <c r="D54" s="43">
        <v>142.632</v>
      </c>
      <c r="E54" s="43">
        <v>0</v>
      </c>
      <c r="F54" s="43">
        <v>60.885</v>
      </c>
      <c r="G54" s="43">
        <v>0</v>
      </c>
      <c r="H54" s="43">
        <v>0</v>
      </c>
      <c r="I54" s="43">
        <v>0</v>
      </c>
      <c r="J54" s="43">
        <v>0</v>
      </c>
      <c r="K54" s="43">
        <v>954.1605</v>
      </c>
      <c r="L54" s="43">
        <v>0</v>
      </c>
      <c r="M54" s="43"/>
      <c r="N54" s="43"/>
      <c r="O54" s="43"/>
      <c r="P54" s="44">
        <f>SUM(C54:O54)</f>
        <v>7303.688</v>
      </c>
    </row>
    <row r="55" spans="1:16" customHeight="1" ht="12.75">
      <c r="A55" s="18" t="s">
        <v>110</v>
      </c>
      <c r="B55" s="4" t="s">
        <v>111</v>
      </c>
      <c r="C55" s="43">
        <v>2149.26442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2149.26442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6013.82022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-18.4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5995.42022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98363.1989</v>
      </c>
      <c r="D66" s="43">
        <v>16.762</v>
      </c>
      <c r="E66" s="43">
        <v>0</v>
      </c>
      <c r="F66" s="43">
        <v>3.09</v>
      </c>
      <c r="G66" s="43">
        <v>61.698</v>
      </c>
      <c r="H66" s="43">
        <v>0</v>
      </c>
      <c r="I66" s="43">
        <v>-325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98119.7489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5046.279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5046.279</v>
      </c>
    </row>
    <row r="74" spans="1:16" customHeight="1" ht="12.75">
      <c r="A74" s="18" t="s">
        <v>147</v>
      </c>
      <c r="B74" s="4" t="s">
        <v>148</v>
      </c>
      <c r="C74" s="43">
        <v>43880.2114</v>
      </c>
      <c r="D74" s="43">
        <v>91.3</v>
      </c>
      <c r="E74" s="43">
        <v>18</v>
      </c>
      <c r="F74" s="43">
        <v>71.75</v>
      </c>
      <c r="G74" s="43">
        <v>163.8</v>
      </c>
      <c r="H74" s="43">
        <v>55.6</v>
      </c>
      <c r="I74" s="43">
        <v>-7463.416</v>
      </c>
      <c r="J74" s="43">
        <v>0</v>
      </c>
      <c r="K74" s="43">
        <v>4.5</v>
      </c>
      <c r="L74" s="43">
        <v>0</v>
      </c>
      <c r="M74" s="43"/>
      <c r="N74" s="43"/>
      <c r="O74" s="43"/>
      <c r="P74" s="44">
        <f>SUM(C74:O74)</f>
        <v>36821.7454</v>
      </c>
    </row>
    <row r="75" spans="1:16" customHeight="1" ht="12.75">
      <c r="A75" s="18" t="s">
        <v>149</v>
      </c>
      <c r="B75" s="4" t="s">
        <v>150</v>
      </c>
      <c r="C75" s="43">
        <v>896.6581</v>
      </c>
      <c r="D75" s="43">
        <v>6.0984</v>
      </c>
      <c r="E75" s="43">
        <v>4.2624</v>
      </c>
      <c r="F75" s="43">
        <v>4.653</v>
      </c>
      <c r="G75" s="43">
        <v>7.77294</v>
      </c>
      <c r="H75" s="43">
        <v>0</v>
      </c>
      <c r="I75" s="43">
        <v>4.02724</v>
      </c>
      <c r="J75" s="43">
        <v>1.57718</v>
      </c>
      <c r="K75" s="43">
        <v>0</v>
      </c>
      <c r="L75" s="43">
        <v>0</v>
      </c>
      <c r="M75" s="43"/>
      <c r="N75" s="43"/>
      <c r="O75" s="43"/>
      <c r="P75" s="44">
        <f>SUM(C75:O75)</f>
        <v>925.04926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985.28575</v>
      </c>
      <c r="D79" s="43">
        <v>3.84865</v>
      </c>
      <c r="E79" s="43">
        <v>3.84862</v>
      </c>
      <c r="F79" s="43">
        <v>3.84864</v>
      </c>
      <c r="G79" s="43">
        <v>2.74275</v>
      </c>
      <c r="H79" s="43">
        <v>2.74276</v>
      </c>
      <c r="I79" s="43">
        <v>2.74275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1005.05992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180211.93405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180211.93405</v>
      </c>
    </row>
    <row r="84" spans="1:16" customHeight="1" ht="12.75">
      <c r="A84" s="18" t="s">
        <v>166</v>
      </c>
      <c r="B84" s="4" t="s">
        <v>167</v>
      </c>
      <c r="C84" s="43">
        <v>41435.47978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41435.47978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549675.25471</v>
      </c>
      <c r="D107" s="47">
        <f>SUM(D38:D106)</f>
        <v>731.98341</v>
      </c>
      <c r="E107" s="47">
        <f>SUM(E38:E106)</f>
        <v>124.75802</v>
      </c>
      <c r="F107" s="47">
        <f>SUM(F38:F106)</f>
        <v>217.26715</v>
      </c>
      <c r="G107" s="47">
        <f>SUM(G38:G106)</f>
        <v>205.42739</v>
      </c>
      <c r="H107" s="47">
        <f>SUM(H38:H106)</f>
        <v>29.41239</v>
      </c>
      <c r="I107" s="47">
        <f>SUM(I38:I106)</f>
        <v>-14797.87331</v>
      </c>
      <c r="J107" s="47">
        <f>SUM(J38:J106)</f>
        <v>53.95951</v>
      </c>
      <c r="K107" s="47">
        <f>SUM(K38:K106)</f>
        <v>1540.88559</v>
      </c>
      <c r="L107" s="47">
        <f>SUM(L38:L106)</f>
        <v>95.6509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537876.72576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-251788.62428</v>
      </c>
      <c r="D109" s="49">
        <f>D36-D107</f>
        <v>-731.98341</v>
      </c>
      <c r="E109" s="49">
        <f>E36-E107</f>
        <v>-124.75802</v>
      </c>
      <c r="F109" s="49">
        <f>F36-F107</f>
        <v>-217.26715</v>
      </c>
      <c r="G109" s="49">
        <f>G36-G107</f>
        <v>-205.42739</v>
      </c>
      <c r="H109" s="49">
        <f>H36-H107</f>
        <v>-29.41239</v>
      </c>
      <c r="I109" s="49">
        <f>I36-I107</f>
        <v>14797.87331</v>
      </c>
      <c r="J109" s="49">
        <f>J36-J107</f>
        <v>-53.95951</v>
      </c>
      <c r="K109" s="49">
        <f>K36-K107</f>
        <v>-1540.88559</v>
      </c>
      <c r="L109" s="49">
        <f>L36-L107</f>
        <v>-95.6509</v>
      </c>
      <c r="M109" s="49"/>
      <c r="N109" s="49"/>
      <c r="O109" s="49"/>
      <c r="P109" s="50">
        <f>P36-P107</f>
        <v>-239990.09533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-985.28575</v>
      </c>
      <c r="D116" s="43">
        <f>D79*-1</f>
        <v>-3.84865</v>
      </c>
      <c r="E116" s="43">
        <f>E79*-1</f>
        <v>-3.84862</v>
      </c>
      <c r="F116" s="43">
        <f>F79*-1</f>
        <v>-3.84864</v>
      </c>
      <c r="G116" s="43">
        <f>G79*-1</f>
        <v>-2.74275</v>
      </c>
      <c r="H116" s="43">
        <f>H79*-1</f>
        <v>-2.74276</v>
      </c>
      <c r="I116" s="43">
        <f>I79*-1</f>
        <v>-2.74275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-1005.05992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2058.437189</v>
      </c>
      <c r="D118" s="45">
        <v>97.20595494</v>
      </c>
      <c r="E118" s="45">
        <v>100.36932784</v>
      </c>
      <c r="F118" s="45">
        <v>103.62122746</v>
      </c>
      <c r="G118" s="45">
        <v>108.60881465</v>
      </c>
      <c r="H118" s="45">
        <v>109.32851196</v>
      </c>
      <c r="I118" s="45">
        <v>69.7644781</v>
      </c>
      <c r="J118" s="45">
        <v>71.29220359</v>
      </c>
      <c r="K118" s="45">
        <v>74.39293373</v>
      </c>
      <c r="L118" s="45">
        <v>69.92268554</v>
      </c>
      <c r="M118" s="45"/>
      <c r="N118" s="45"/>
      <c r="O118" s="45"/>
      <c r="P118" s="46">
        <f>SUM(C118:O118)</f>
        <v>2862.94332681</v>
      </c>
    </row>
    <row r="119" spans="1:16" customHeight="1" ht="12.75">
      <c r="A119" s="20">
        <v>4.3</v>
      </c>
      <c r="B119" s="15" t="s">
        <v>210</v>
      </c>
      <c r="C119" s="47">
        <f>SUM(C111:C118)</f>
        <v>1073.151439</v>
      </c>
      <c r="D119" s="47">
        <f>SUM(D111:D118)</f>
        <v>93.35730494</v>
      </c>
      <c r="E119" s="47">
        <f>SUM(E111:E118)</f>
        <v>96.52070784</v>
      </c>
      <c r="F119" s="47">
        <f>SUM(F111:F118)</f>
        <v>99.77258746</v>
      </c>
      <c r="G119" s="47">
        <f>SUM(G111:G118)</f>
        <v>105.86606465</v>
      </c>
      <c r="H119" s="47">
        <f>SUM(H111:H118)</f>
        <v>106.58575196</v>
      </c>
      <c r="I119" s="47">
        <f>SUM(I111:I118)</f>
        <v>67.0217281</v>
      </c>
      <c r="J119" s="47">
        <f>SUM(J111:J118)</f>
        <v>71.29220359</v>
      </c>
      <c r="K119" s="47">
        <f>SUM(K111:K118)</f>
        <v>74.39293373</v>
      </c>
      <c r="L119" s="47">
        <f>SUM(L111:L118)</f>
        <v>69.92268554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1857.88340681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-252861.775719</v>
      </c>
      <c r="D121" s="49">
        <f>D109-D119</f>
        <v>-825.34071494</v>
      </c>
      <c r="E121" s="49">
        <f>E109-E119</f>
        <v>-221.27872784</v>
      </c>
      <c r="F121" s="49">
        <f>F109-F119</f>
        <v>-317.03973746</v>
      </c>
      <c r="G121" s="49">
        <f>G109-G119</f>
        <v>-311.29345465</v>
      </c>
      <c r="H121" s="49">
        <f>H109-H119</f>
        <v>-135.99814196</v>
      </c>
      <c r="I121" s="49">
        <f>I109-I119</f>
        <v>14730.8515819</v>
      </c>
      <c r="J121" s="49">
        <f>J109-J119</f>
        <v>-125.25171359</v>
      </c>
      <c r="K121" s="49">
        <f>K109-K119</f>
        <v>-1615.27852373</v>
      </c>
      <c r="L121" s="49">
        <f>L109-L119</f>
        <v>-165.57358554</v>
      </c>
      <c r="M121" s="49"/>
      <c r="N121" s="49"/>
      <c r="O121" s="49"/>
      <c r="P121" s="50">
        <f>P109-P119</f>
        <v>-241847.97873681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8936.5989129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8936.5989129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5957.7326086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5957.7326086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-267756.1072405</v>
      </c>
      <c r="D129" s="51">
        <f>D121-SUM(D125:D126)+IF(ISBLANK(D127), 0, D127)</f>
        <v>-825.34071494</v>
      </c>
      <c r="E129" s="51">
        <f>E121-SUM(E125:E126)+IF(ISBLANK(E127), 0, E127)</f>
        <v>-221.27872784</v>
      </c>
      <c r="F129" s="51">
        <f>F121-SUM(F125:F126)+IF(ISBLANK(F127), 0, F127)</f>
        <v>-317.03973746</v>
      </c>
      <c r="G129" s="51">
        <f>G121-SUM(G125:G126)+IF(ISBLANK(G127), 0, G127)</f>
        <v>-311.29345465</v>
      </c>
      <c r="H129" s="51">
        <f>H121-SUM(H125:H126)+IF(ISBLANK(H127), 0, H127)</f>
        <v>-135.99814196</v>
      </c>
      <c r="I129" s="51">
        <f>I121-SUM(I125:I126)+IF(ISBLANK(I127), 0, I127)</f>
        <v>14730.8515819</v>
      </c>
      <c r="J129" s="51">
        <f>J121-SUM(J125:J126)+IF(ISBLANK(J127), 0, J127)</f>
        <v>-125.25171359</v>
      </c>
      <c r="K129" s="51">
        <f>K121-SUM(K125:K126)+IF(ISBLANK(K127), 0, K127)</f>
        <v>-1615.27852373</v>
      </c>
      <c r="L129" s="51">
        <f>L121-SUM(L125:L126)+IF(ISBLANK(L127), 0, L127)</f>
        <v>-165.57358554</v>
      </c>
      <c r="M129" s="51"/>
      <c r="N129" s="51"/>
      <c r="O129" s="51"/>
      <c r="P129" s="52">
        <f>P121-SUM(P125:P126)+IF(ISBLANK(P127), 0, P127)</f>
        <v>-256742.31025831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968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425890.83077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2389</v>
      </c>
      <c r="M14" s="43"/>
      <c r="N14" s="43"/>
      <c r="O14" s="43"/>
      <c r="P14" s="44">
        <f>SUM(C14:O14)</f>
        <v>428279.83077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-0.14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-0.14</v>
      </c>
    </row>
    <row r="29" spans="1:16" customHeight="1" ht="12.75">
      <c r="A29" s="18" t="s">
        <v>69</v>
      </c>
      <c r="B29" s="4" t="s">
        <v>70</v>
      </c>
      <c r="C29" s="43">
        <v>0.19949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0.19949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425890.89026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2389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428279.89026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79994.03444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79994.03444</v>
      </c>
    </row>
    <row r="41" spans="1:16" customHeight="1" ht="12.75">
      <c r="A41" s="18" t="s">
        <v>83</v>
      </c>
      <c r="B41" s="4" t="s">
        <v>84</v>
      </c>
      <c r="C41" s="43">
        <v>22.112</v>
      </c>
      <c r="D41" s="43">
        <v>-3</v>
      </c>
      <c r="E41" s="43">
        <v>3.94</v>
      </c>
      <c r="F41" s="43">
        <v>0</v>
      </c>
      <c r="G41" s="43">
        <v>12.69</v>
      </c>
      <c r="H41" s="43">
        <v>37.34763</v>
      </c>
      <c r="I41" s="43">
        <v>29.81</v>
      </c>
      <c r="J41" s="43">
        <v>-3.27</v>
      </c>
      <c r="K41" s="43">
        <v>3.94</v>
      </c>
      <c r="L41" s="43">
        <v>88.07</v>
      </c>
      <c r="M41" s="43"/>
      <c r="N41" s="43"/>
      <c r="O41" s="43"/>
      <c r="P41" s="44">
        <f>SUM(C41:O41)</f>
        <v>191.63963</v>
      </c>
    </row>
    <row r="42" spans="1:16" customHeight="1" ht="12.75">
      <c r="A42" s="18" t="s">
        <v>85</v>
      </c>
      <c r="B42" s="4" t="s">
        <v>86</v>
      </c>
      <c r="C42" s="43">
        <v>122.51203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122.51203</v>
      </c>
    </row>
    <row r="43" spans="1:16" customHeight="1" ht="12.75">
      <c r="A43" s="18" t="s">
        <v>87</v>
      </c>
      <c r="B43" s="4" t="s">
        <v>88</v>
      </c>
      <c r="C43" s="43">
        <v>15420.88306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15420.88306</v>
      </c>
    </row>
    <row r="44" spans="1:16" customHeight="1" ht="12.75">
      <c r="A44" s="18" t="s">
        <v>89</v>
      </c>
      <c r="B44" s="4" t="s">
        <v>90</v>
      </c>
      <c r="C44" s="43">
        <v>3092.86269</v>
      </c>
      <c r="D44" s="43">
        <v>431.9645</v>
      </c>
      <c r="E44" s="43">
        <v>47.604</v>
      </c>
      <c r="F44" s="43">
        <v>46.529</v>
      </c>
      <c r="G44" s="43">
        <v>0</v>
      </c>
      <c r="H44" s="43">
        <v>0</v>
      </c>
      <c r="I44" s="43">
        <v>0</v>
      </c>
      <c r="J44" s="43">
        <v>46.104</v>
      </c>
      <c r="K44" s="43">
        <v>441.61909</v>
      </c>
      <c r="L44" s="43">
        <v>0</v>
      </c>
      <c r="M44" s="43"/>
      <c r="N44" s="43"/>
      <c r="O44" s="43"/>
      <c r="P44" s="44">
        <f>SUM(C44:O44)</f>
        <v>4106.68328</v>
      </c>
    </row>
    <row r="45" spans="1:16" customHeight="1" ht="12.75">
      <c r="A45" s="18" t="s">
        <v>91</v>
      </c>
      <c r="B45" s="4" t="s">
        <v>92</v>
      </c>
      <c r="C45" s="43">
        <v>34664.27045</v>
      </c>
      <c r="D45" s="43">
        <v>6.8535</v>
      </c>
      <c r="E45" s="43">
        <v>16.438</v>
      </c>
      <c r="F45" s="43">
        <v>26.51151</v>
      </c>
      <c r="G45" s="43">
        <v>-43.2763</v>
      </c>
      <c r="H45" s="43">
        <v>-66.278</v>
      </c>
      <c r="I45" s="43">
        <v>-2672.6373</v>
      </c>
      <c r="J45" s="43">
        <v>11.40333</v>
      </c>
      <c r="K45" s="43">
        <v>0.785</v>
      </c>
      <c r="L45" s="43">
        <v>7.5809</v>
      </c>
      <c r="M45" s="43"/>
      <c r="N45" s="43"/>
      <c r="O45" s="43"/>
      <c r="P45" s="44">
        <f>SUM(C45:O45)</f>
        <v>31951.65109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2007.1258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2007.1258</v>
      </c>
    </row>
    <row r="48" spans="1:16" customHeight="1" ht="12.75">
      <c r="A48" s="18" t="s">
        <v>97</v>
      </c>
      <c r="B48" s="4" t="s">
        <v>98</v>
      </c>
      <c r="C48" s="43">
        <v>7940.69621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7940.69621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15145.22071</v>
      </c>
      <c r="D50" s="43">
        <v>2.471</v>
      </c>
      <c r="E50" s="43">
        <v>-1.037</v>
      </c>
      <c r="F50" s="43">
        <v>5.345</v>
      </c>
      <c r="G50" s="43">
        <v>0.735</v>
      </c>
      <c r="H50" s="43">
        <v>-63.135</v>
      </c>
      <c r="I50" s="43">
        <v>-4355</v>
      </c>
      <c r="J50" s="43">
        <v>249.79</v>
      </c>
      <c r="K50" s="43">
        <v>0</v>
      </c>
      <c r="L50" s="43">
        <v>0</v>
      </c>
      <c r="M50" s="43"/>
      <c r="N50" s="43"/>
      <c r="O50" s="43"/>
      <c r="P50" s="44">
        <f>SUM(C50:O50)</f>
        <v>10984.38971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5482.9496</v>
      </c>
      <c r="D54" s="43">
        <v>159.6075</v>
      </c>
      <c r="E54" s="43">
        <v>43.9095</v>
      </c>
      <c r="F54" s="43">
        <v>0</v>
      </c>
      <c r="G54" s="43">
        <v>0</v>
      </c>
      <c r="H54" s="43">
        <v>0</v>
      </c>
      <c r="I54" s="43">
        <v>0</v>
      </c>
      <c r="J54" s="43">
        <v>954.1605</v>
      </c>
      <c r="K54" s="43">
        <v>0</v>
      </c>
      <c r="L54" s="43">
        <v>0</v>
      </c>
      <c r="M54" s="43"/>
      <c r="N54" s="43"/>
      <c r="O54" s="43"/>
      <c r="P54" s="44">
        <f>SUM(C54:O54)</f>
        <v>6640.6271</v>
      </c>
    </row>
    <row r="55" spans="1:16" customHeight="1" ht="12.75">
      <c r="A55" s="18" t="s">
        <v>110</v>
      </c>
      <c r="B55" s="4" t="s">
        <v>111</v>
      </c>
      <c r="C55" s="43">
        <v>1124.42233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1124.42233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4969.79086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-18.4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4951.39086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67552.2764</v>
      </c>
      <c r="D66" s="43">
        <v>16.762</v>
      </c>
      <c r="E66" s="43">
        <v>3.09</v>
      </c>
      <c r="F66" s="43">
        <v>61.698</v>
      </c>
      <c r="G66" s="43">
        <v>0</v>
      </c>
      <c r="H66" s="43">
        <v>-60</v>
      </c>
      <c r="I66" s="43">
        <v>-325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67248.8264</v>
      </c>
    </row>
    <row r="67" spans="1:16" customHeight="1" ht="12.75">
      <c r="A67" s="18" t="s">
        <v>134</v>
      </c>
      <c r="B67" s="4" t="s">
        <v>135</v>
      </c>
      <c r="C67" s="43">
        <v>3323.7332</v>
      </c>
      <c r="D67" s="43">
        <v>0</v>
      </c>
      <c r="E67" s="43">
        <v>0</v>
      </c>
      <c r="F67" s="43">
        <v>0</v>
      </c>
      <c r="G67" s="43">
        <v>0</v>
      </c>
      <c r="H67" s="43">
        <v>-58</v>
      </c>
      <c r="I67" s="43">
        <v>0</v>
      </c>
      <c r="J67" s="43">
        <v>-233.92</v>
      </c>
      <c r="K67" s="43">
        <v>0</v>
      </c>
      <c r="L67" s="43">
        <v>0</v>
      </c>
      <c r="M67" s="43"/>
      <c r="N67" s="43"/>
      <c r="O67" s="43"/>
      <c r="P67" s="44">
        <f>SUM(C67:O67)</f>
        <v>3031.8132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5046.279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5046.279</v>
      </c>
    </row>
    <row r="74" spans="1:16" customHeight="1" ht="12.75">
      <c r="A74" s="18" t="s">
        <v>147</v>
      </c>
      <c r="B74" s="4" t="s">
        <v>148</v>
      </c>
      <c r="C74" s="43">
        <v>26452.32041</v>
      </c>
      <c r="D74" s="43">
        <v>238.122</v>
      </c>
      <c r="E74" s="43">
        <v>344.9</v>
      </c>
      <c r="F74" s="43">
        <v>27.84</v>
      </c>
      <c r="G74" s="43">
        <v>296.62</v>
      </c>
      <c r="H74" s="43">
        <v>10.6</v>
      </c>
      <c r="I74" s="43">
        <v>-7594.666</v>
      </c>
      <c r="J74" s="43">
        <v>107.1193</v>
      </c>
      <c r="K74" s="43">
        <v>0</v>
      </c>
      <c r="L74" s="43">
        <v>0</v>
      </c>
      <c r="M74" s="43"/>
      <c r="N74" s="43"/>
      <c r="O74" s="43"/>
      <c r="P74" s="44">
        <f>SUM(C74:O74)</f>
        <v>19882.85571</v>
      </c>
    </row>
    <row r="75" spans="1:16" customHeight="1" ht="12.75">
      <c r="A75" s="18" t="s">
        <v>149</v>
      </c>
      <c r="B75" s="4" t="s">
        <v>150</v>
      </c>
      <c r="C75" s="43">
        <v>889.51557</v>
      </c>
      <c r="D75" s="43">
        <v>10.3608</v>
      </c>
      <c r="E75" s="43">
        <v>4.653</v>
      </c>
      <c r="F75" s="43">
        <v>0</v>
      </c>
      <c r="G75" s="43">
        <v>7.77294</v>
      </c>
      <c r="H75" s="43">
        <v>0</v>
      </c>
      <c r="I75" s="43">
        <v>0</v>
      </c>
      <c r="J75" s="43">
        <v>5.60442</v>
      </c>
      <c r="K75" s="43">
        <v>0</v>
      </c>
      <c r="L75" s="43">
        <v>0</v>
      </c>
      <c r="M75" s="43"/>
      <c r="N75" s="43"/>
      <c r="O75" s="43"/>
      <c r="P75" s="44">
        <f>SUM(C75:O75)</f>
        <v>917.90673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985.28575</v>
      </c>
      <c r="D79" s="43">
        <v>3.84865</v>
      </c>
      <c r="E79" s="43">
        <v>3.84862</v>
      </c>
      <c r="F79" s="43">
        <v>3.84864</v>
      </c>
      <c r="G79" s="43">
        <v>2.74275</v>
      </c>
      <c r="H79" s="43">
        <v>2.74276</v>
      </c>
      <c r="I79" s="43">
        <v>2.74275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1005.05992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143484.34739</v>
      </c>
      <c r="D83" s="43">
        <v>0</v>
      </c>
      <c r="E83" s="43">
        <v>0</v>
      </c>
      <c r="F83" s="43">
        <v>345.9468</v>
      </c>
      <c r="G83" s="43">
        <v>0</v>
      </c>
      <c r="H83" s="43">
        <v>0</v>
      </c>
      <c r="I83" s="43">
        <v>0</v>
      </c>
      <c r="J83" s="43">
        <v>0</v>
      </c>
      <c r="K83" s="43">
        <v>29.48762</v>
      </c>
      <c r="L83" s="43">
        <v>0</v>
      </c>
      <c r="M83" s="43"/>
      <c r="N83" s="43"/>
      <c r="O83" s="43"/>
      <c r="P83" s="44">
        <f>SUM(C83:O83)</f>
        <v>143859.78181</v>
      </c>
    </row>
    <row r="84" spans="1:16" customHeight="1" ht="12.75">
      <c r="A84" s="18" t="s">
        <v>166</v>
      </c>
      <c r="B84" s="4" t="s">
        <v>167</v>
      </c>
      <c r="C84" s="43">
        <v>27185.86296</v>
      </c>
      <c r="D84" s="43">
        <v>772.65629</v>
      </c>
      <c r="E84" s="43">
        <v>0</v>
      </c>
      <c r="F84" s="43">
        <v>0</v>
      </c>
      <c r="G84" s="43">
        <v>0</v>
      </c>
      <c r="H84" s="43">
        <v>8325.66022</v>
      </c>
      <c r="I84" s="43">
        <v>0</v>
      </c>
      <c r="J84" s="43">
        <v>0</v>
      </c>
      <c r="K84" s="43">
        <v>112.98326</v>
      </c>
      <c r="L84" s="43">
        <v>0</v>
      </c>
      <c r="M84" s="43"/>
      <c r="N84" s="43"/>
      <c r="O84" s="43"/>
      <c r="P84" s="44">
        <f>SUM(C84:O84)</f>
        <v>36397.16273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727.93072</v>
      </c>
      <c r="D86" s="43">
        <v>-449.77362</v>
      </c>
      <c r="E86" s="43">
        <v>0</v>
      </c>
      <c r="F86" s="43">
        <v>0</v>
      </c>
      <c r="G86" s="43">
        <v>0</v>
      </c>
      <c r="H86" s="43">
        <v>-549.83255</v>
      </c>
      <c r="I86" s="43">
        <v>-6.63335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-278.3088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445634.43158</v>
      </c>
      <c r="D107" s="47">
        <f>SUM(D38:D106)</f>
        <v>1189.87262</v>
      </c>
      <c r="E107" s="47">
        <f>SUM(E38:E106)</f>
        <v>467.34612</v>
      </c>
      <c r="F107" s="47">
        <f>SUM(F38:F106)</f>
        <v>517.71895</v>
      </c>
      <c r="G107" s="47">
        <f>SUM(G38:G106)</f>
        <v>277.28439</v>
      </c>
      <c r="H107" s="47">
        <f>SUM(H38:H106)</f>
        <v>7579.10506</v>
      </c>
      <c r="I107" s="47">
        <f>SUM(I38:I106)</f>
        <v>-14939.7839</v>
      </c>
      <c r="J107" s="47">
        <f>SUM(J38:J106)</f>
        <v>1136.99155</v>
      </c>
      <c r="K107" s="47">
        <f>SUM(K38:K106)</f>
        <v>588.81497</v>
      </c>
      <c r="L107" s="47">
        <f>SUM(L38:L106)</f>
        <v>95.6509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442547.43224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-19743.54132</v>
      </c>
      <c r="D109" s="49">
        <f>D36-D107</f>
        <v>-1189.87262</v>
      </c>
      <c r="E109" s="49">
        <f>E36-E107</f>
        <v>-467.34612</v>
      </c>
      <c r="F109" s="49">
        <f>F36-F107</f>
        <v>-517.71895</v>
      </c>
      <c r="G109" s="49">
        <f>G36-G107</f>
        <v>-277.28439</v>
      </c>
      <c r="H109" s="49">
        <f>H36-H107</f>
        <v>-7579.10506</v>
      </c>
      <c r="I109" s="49">
        <f>I36-I107</f>
        <v>14939.7839</v>
      </c>
      <c r="J109" s="49">
        <f>J36-J107</f>
        <v>-1136.99155</v>
      </c>
      <c r="K109" s="49">
        <f>K36-K107</f>
        <v>-588.81497</v>
      </c>
      <c r="L109" s="49">
        <f>L36-L107</f>
        <v>2293.3491</v>
      </c>
      <c r="M109" s="49"/>
      <c r="N109" s="49"/>
      <c r="O109" s="49"/>
      <c r="P109" s="50">
        <f>P36-P107</f>
        <v>-14267.54198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-985.28575</v>
      </c>
      <c r="D116" s="43">
        <f>D79*-1</f>
        <v>-3.84865</v>
      </c>
      <c r="E116" s="43">
        <f>E79*-1</f>
        <v>-3.84862</v>
      </c>
      <c r="F116" s="43">
        <f>F79*-1</f>
        <v>-3.84864</v>
      </c>
      <c r="G116" s="43">
        <f>G79*-1</f>
        <v>-2.74275</v>
      </c>
      <c r="H116" s="43">
        <f>H79*-1</f>
        <v>-2.74276</v>
      </c>
      <c r="I116" s="43">
        <f>I79*-1</f>
        <v>-2.74275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-1005.05992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2058.437189</v>
      </c>
      <c r="D118" s="45">
        <v>97.20595494</v>
      </c>
      <c r="E118" s="45">
        <v>100.36932784</v>
      </c>
      <c r="F118" s="45">
        <v>103.62122746</v>
      </c>
      <c r="G118" s="45">
        <v>108.60881465</v>
      </c>
      <c r="H118" s="45">
        <v>109.32851196</v>
      </c>
      <c r="I118" s="45">
        <v>69.7644781</v>
      </c>
      <c r="J118" s="45">
        <v>71.29220359</v>
      </c>
      <c r="K118" s="45">
        <v>74.39293373</v>
      </c>
      <c r="L118" s="45">
        <v>69.92268554</v>
      </c>
      <c r="M118" s="45"/>
      <c r="N118" s="45"/>
      <c r="O118" s="45"/>
      <c r="P118" s="46">
        <f>SUM(C118:O118)</f>
        <v>2862.94332681</v>
      </c>
    </row>
    <row r="119" spans="1:16" customHeight="1" ht="12.75">
      <c r="A119" s="20">
        <v>4.3</v>
      </c>
      <c r="B119" s="15" t="s">
        <v>210</v>
      </c>
      <c r="C119" s="47">
        <f>SUM(C111:C118)</f>
        <v>1073.151439</v>
      </c>
      <c r="D119" s="47">
        <f>SUM(D111:D118)</f>
        <v>93.35730494</v>
      </c>
      <c r="E119" s="47">
        <f>SUM(E111:E118)</f>
        <v>96.52070784</v>
      </c>
      <c r="F119" s="47">
        <f>SUM(F111:F118)</f>
        <v>99.77258746</v>
      </c>
      <c r="G119" s="47">
        <f>SUM(G111:G118)</f>
        <v>105.86606465</v>
      </c>
      <c r="H119" s="47">
        <f>SUM(H111:H118)</f>
        <v>106.58575196</v>
      </c>
      <c r="I119" s="47">
        <f>SUM(I111:I118)</f>
        <v>67.0217281</v>
      </c>
      <c r="J119" s="47">
        <f>SUM(J111:J118)</f>
        <v>71.29220359</v>
      </c>
      <c r="K119" s="47">
        <f>SUM(K111:K118)</f>
        <v>74.39293373</v>
      </c>
      <c r="L119" s="47">
        <f>SUM(L111:L118)</f>
        <v>69.92268554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1857.88340681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-20816.692759</v>
      </c>
      <c r="D121" s="49">
        <f>D109-D119</f>
        <v>-1283.22992494</v>
      </c>
      <c r="E121" s="49">
        <f>E109-E119</f>
        <v>-563.86682784</v>
      </c>
      <c r="F121" s="49">
        <f>F109-F119</f>
        <v>-617.49153746</v>
      </c>
      <c r="G121" s="49">
        <f>G109-G119</f>
        <v>-383.15045465</v>
      </c>
      <c r="H121" s="49">
        <f>H109-H119</f>
        <v>-7685.69081196</v>
      </c>
      <c r="I121" s="49">
        <f>I109-I119</f>
        <v>14872.7621719</v>
      </c>
      <c r="J121" s="49">
        <f>J109-J119</f>
        <v>-1208.28375359</v>
      </c>
      <c r="K121" s="49">
        <f>K109-K119</f>
        <v>-663.20790373</v>
      </c>
      <c r="L121" s="49">
        <f>L109-L119</f>
        <v>2223.42641446</v>
      </c>
      <c r="M121" s="49"/>
      <c r="N121" s="49"/>
      <c r="O121" s="49"/>
      <c r="P121" s="50">
        <f>P109-P119</f>
        <v>-16125.42538681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12776.7267078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143.34</v>
      </c>
      <c r="M125" s="43"/>
      <c r="N125" s="43"/>
      <c r="O125" s="43"/>
      <c r="P125" s="44">
        <f>SUM(C125:O125)</f>
        <v>12920.0667078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8517.8178052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47.78</v>
      </c>
      <c r="M126" s="43"/>
      <c r="N126" s="43"/>
      <c r="O126" s="43"/>
      <c r="P126" s="44">
        <f>(P36-P18-P20-P33)*0.020000</f>
        <v>8565.5978052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-42111.237272</v>
      </c>
      <c r="D129" s="51">
        <f>D121-SUM(D125:D126)+IF(ISBLANK(D127), 0, D127)</f>
        <v>-1283.22992494</v>
      </c>
      <c r="E129" s="51">
        <f>E121-SUM(E125:E126)+IF(ISBLANK(E127), 0, E127)</f>
        <v>-563.86682784</v>
      </c>
      <c r="F129" s="51">
        <f>F121-SUM(F125:F126)+IF(ISBLANK(F127), 0, F127)</f>
        <v>-617.49153746</v>
      </c>
      <c r="G129" s="51">
        <f>G121-SUM(G125:G126)+IF(ISBLANK(G127), 0, G127)</f>
        <v>-383.15045465</v>
      </c>
      <c r="H129" s="51">
        <f>H121-SUM(H125:H126)+IF(ISBLANK(H127), 0, H127)</f>
        <v>-7685.69081196</v>
      </c>
      <c r="I129" s="51">
        <f>I121-SUM(I125:I126)+IF(ISBLANK(I127), 0, I127)</f>
        <v>14872.7621719</v>
      </c>
      <c r="J129" s="51">
        <f>J121-SUM(J125:J126)+IF(ISBLANK(J127), 0, J127)</f>
        <v>-1208.28375359</v>
      </c>
      <c r="K129" s="51">
        <f>K121-SUM(K125:K126)+IF(ISBLANK(K127), 0, K127)</f>
        <v>-663.20790373</v>
      </c>
      <c r="L129" s="51">
        <f>L121-SUM(L125:L126)+IF(ISBLANK(L127), 0, L127)</f>
        <v>2032.30641446</v>
      </c>
      <c r="M129" s="51"/>
      <c r="N129" s="51"/>
      <c r="O129" s="51"/>
      <c r="P129" s="52">
        <f>P121-SUM(P125:P126)+IF(ISBLANK(P127), 0, P127)</f>
        <v>-37611.08989981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968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427975.16457</v>
      </c>
      <c r="D14" s="43">
        <v>0</v>
      </c>
      <c r="E14" s="43">
        <v>305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428280.16457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0.008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0.008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2223.962</v>
      </c>
      <c r="D28" s="43">
        <v>0</v>
      </c>
      <c r="E28" s="43">
        <v>-2224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-0.038000000000011</v>
      </c>
    </row>
    <row r="29" spans="1:16" customHeight="1" ht="12.75">
      <c r="A29" s="18" t="s">
        <v>69</v>
      </c>
      <c r="B29" s="4" t="s">
        <v>70</v>
      </c>
      <c r="C29" s="43">
        <v>-1980.20051</v>
      </c>
      <c r="D29" s="43">
        <v>0</v>
      </c>
      <c r="E29" s="43">
        <v>1980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-0.20050999999989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-2328.24791</v>
      </c>
      <c r="D32" s="43">
        <v>0</v>
      </c>
      <c r="E32" s="43">
        <v>-61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2389</v>
      </c>
      <c r="M32" s="43"/>
      <c r="N32" s="43"/>
      <c r="O32" s="43"/>
      <c r="P32" s="44">
        <f>SUM(C32:O32)</f>
        <v>-0.24791000000005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425890.68615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2389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428279.68615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79994.63444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79994.63444</v>
      </c>
    </row>
    <row r="41" spans="1:16" customHeight="1" ht="12.75">
      <c r="A41" s="18" t="s">
        <v>83</v>
      </c>
      <c r="B41" s="4" t="s">
        <v>84</v>
      </c>
      <c r="C41" s="43">
        <v>21.752</v>
      </c>
      <c r="D41" s="43">
        <v>-3</v>
      </c>
      <c r="E41" s="43">
        <v>3.94</v>
      </c>
      <c r="F41" s="43">
        <v>0</v>
      </c>
      <c r="G41" s="43">
        <v>12.69</v>
      </c>
      <c r="H41" s="43">
        <v>37.34763</v>
      </c>
      <c r="I41" s="43">
        <v>29.81</v>
      </c>
      <c r="J41" s="43">
        <v>-3.27</v>
      </c>
      <c r="K41" s="43">
        <v>3.94</v>
      </c>
      <c r="L41" s="43">
        <v>88.07</v>
      </c>
      <c r="M41" s="43"/>
      <c r="N41" s="43"/>
      <c r="O41" s="43"/>
      <c r="P41" s="44">
        <f>SUM(C41:O41)</f>
        <v>191.27963</v>
      </c>
    </row>
    <row r="42" spans="1:16" customHeight="1" ht="12.75">
      <c r="A42" s="18" t="s">
        <v>85</v>
      </c>
      <c r="B42" s="4" t="s">
        <v>86</v>
      </c>
      <c r="C42" s="43">
        <v>122.51203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122.51203</v>
      </c>
    </row>
    <row r="43" spans="1:16" customHeight="1" ht="12.75">
      <c r="A43" s="18" t="s">
        <v>87</v>
      </c>
      <c r="B43" s="4" t="s">
        <v>88</v>
      </c>
      <c r="C43" s="43">
        <v>15420.88306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15420.88306</v>
      </c>
    </row>
    <row r="44" spans="1:16" customHeight="1" ht="12.75">
      <c r="A44" s="18" t="s">
        <v>89</v>
      </c>
      <c r="B44" s="4" t="s">
        <v>90</v>
      </c>
      <c r="C44" s="43">
        <v>3065.40969</v>
      </c>
      <c r="D44" s="43">
        <v>0</v>
      </c>
      <c r="E44" s="43">
        <v>1.5</v>
      </c>
      <c r="F44" s="43">
        <v>29.808</v>
      </c>
      <c r="G44" s="43">
        <v>478.0685</v>
      </c>
      <c r="H44" s="43">
        <v>0</v>
      </c>
      <c r="I44" s="43">
        <v>0</v>
      </c>
      <c r="J44" s="43">
        <v>46.104</v>
      </c>
      <c r="K44" s="43">
        <v>441.61909</v>
      </c>
      <c r="L44" s="43">
        <v>46.104</v>
      </c>
      <c r="M44" s="43"/>
      <c r="N44" s="43"/>
      <c r="O44" s="43"/>
      <c r="P44" s="44">
        <f>SUM(C44:O44)</f>
        <v>4108.61328</v>
      </c>
    </row>
    <row r="45" spans="1:16" customHeight="1" ht="12.75">
      <c r="A45" s="18" t="s">
        <v>91</v>
      </c>
      <c r="B45" s="4" t="s">
        <v>92</v>
      </c>
      <c r="C45" s="43">
        <v>34220.17382</v>
      </c>
      <c r="D45" s="43">
        <v>23.26692</v>
      </c>
      <c r="E45" s="43">
        <v>57.78874</v>
      </c>
      <c r="F45" s="43">
        <v>24.51952</v>
      </c>
      <c r="G45" s="43">
        <v>-11.3968</v>
      </c>
      <c r="H45" s="43">
        <v>-48.07709</v>
      </c>
      <c r="I45" s="43">
        <v>-2672.6373</v>
      </c>
      <c r="J45" s="43">
        <v>4.59933</v>
      </c>
      <c r="K45" s="43">
        <v>35.98</v>
      </c>
      <c r="L45" s="43">
        <v>0.848</v>
      </c>
      <c r="M45" s="43"/>
      <c r="N45" s="43"/>
      <c r="O45" s="43"/>
      <c r="P45" s="44">
        <f>SUM(C45:O45)</f>
        <v>31635.06514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2001.6898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2001.6898</v>
      </c>
    </row>
    <row r="48" spans="1:16" customHeight="1" ht="12.75">
      <c r="A48" s="18" t="s">
        <v>97</v>
      </c>
      <c r="B48" s="4" t="s">
        <v>98</v>
      </c>
      <c r="C48" s="43">
        <v>7847.94621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7847.94621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13771.05221</v>
      </c>
      <c r="D50" s="43">
        <v>3.66</v>
      </c>
      <c r="E50" s="43">
        <v>13.169</v>
      </c>
      <c r="F50" s="43">
        <v>51.125</v>
      </c>
      <c r="G50" s="43">
        <v>52.64</v>
      </c>
      <c r="H50" s="43">
        <v>71.15</v>
      </c>
      <c r="I50" s="43">
        <v>-4352.215</v>
      </c>
      <c r="J50" s="43">
        <v>250.525</v>
      </c>
      <c r="K50" s="43">
        <v>0</v>
      </c>
      <c r="L50" s="43">
        <v>0</v>
      </c>
      <c r="M50" s="43"/>
      <c r="N50" s="43"/>
      <c r="O50" s="43"/>
      <c r="P50" s="44">
        <f>SUM(C50:O50)</f>
        <v>9861.10621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5395.3157</v>
      </c>
      <c r="D54" s="43">
        <v>0</v>
      </c>
      <c r="E54" s="43">
        <v>142.632</v>
      </c>
      <c r="F54" s="43">
        <v>57.4779</v>
      </c>
      <c r="G54" s="43">
        <v>60.885</v>
      </c>
      <c r="H54" s="43">
        <v>0</v>
      </c>
      <c r="I54" s="43">
        <v>0</v>
      </c>
      <c r="J54" s="43">
        <v>0</v>
      </c>
      <c r="K54" s="43">
        <v>0</v>
      </c>
      <c r="L54" s="43">
        <v>587.1215</v>
      </c>
      <c r="M54" s="43"/>
      <c r="N54" s="43"/>
      <c r="O54" s="43"/>
      <c r="P54" s="44">
        <f>SUM(C54:O54)</f>
        <v>6243.4321</v>
      </c>
    </row>
    <row r="55" spans="1:16" customHeight="1" ht="12.75">
      <c r="A55" s="18" t="s">
        <v>110</v>
      </c>
      <c r="B55" s="4" t="s">
        <v>111</v>
      </c>
      <c r="C55" s="43">
        <v>1081.13193</v>
      </c>
      <c r="D55" s="43">
        <v>0</v>
      </c>
      <c r="E55" s="43">
        <v>43.2904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1124.42233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4862.83086</v>
      </c>
      <c r="D57" s="43">
        <v>0</v>
      </c>
      <c r="E57" s="43">
        <v>0</v>
      </c>
      <c r="F57" s="43">
        <v>18.76</v>
      </c>
      <c r="G57" s="43">
        <v>0</v>
      </c>
      <c r="H57" s="43">
        <v>0</v>
      </c>
      <c r="I57" s="43">
        <v>-18.4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4863.19086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63954.73754</v>
      </c>
      <c r="D66" s="43">
        <v>47.215</v>
      </c>
      <c r="E66" s="43">
        <v>16.762</v>
      </c>
      <c r="F66" s="43">
        <v>12.9832</v>
      </c>
      <c r="G66" s="43">
        <v>3.09</v>
      </c>
      <c r="H66" s="43">
        <v>61.698</v>
      </c>
      <c r="I66" s="43">
        <v>-325</v>
      </c>
      <c r="J66" s="43">
        <v>32.998</v>
      </c>
      <c r="K66" s="43">
        <v>0</v>
      </c>
      <c r="L66" s="43">
        <v>0</v>
      </c>
      <c r="M66" s="43"/>
      <c r="N66" s="43"/>
      <c r="O66" s="43"/>
      <c r="P66" s="44">
        <f>SUM(C66:O66)</f>
        <v>63804.48374</v>
      </c>
    </row>
    <row r="67" spans="1:16" customHeight="1" ht="12.75">
      <c r="A67" s="18" t="s">
        <v>134</v>
      </c>
      <c r="B67" s="4" t="s">
        <v>135</v>
      </c>
      <c r="C67" s="43">
        <v>8677.54866</v>
      </c>
      <c r="D67" s="43">
        <v>0</v>
      </c>
      <c r="E67" s="43">
        <v>0</v>
      </c>
      <c r="F67" s="43">
        <v>0</v>
      </c>
      <c r="G67" s="43">
        <v>0</v>
      </c>
      <c r="H67" s="43">
        <v>-58</v>
      </c>
      <c r="I67" s="43">
        <v>0</v>
      </c>
      <c r="J67" s="43">
        <v>-233.92</v>
      </c>
      <c r="K67" s="43">
        <v>0</v>
      </c>
      <c r="L67" s="43">
        <v>0</v>
      </c>
      <c r="M67" s="43"/>
      <c r="N67" s="43"/>
      <c r="O67" s="43"/>
      <c r="P67" s="44">
        <f>SUM(C67:O67)</f>
        <v>8385.62866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597.279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597.279</v>
      </c>
    </row>
    <row r="74" spans="1:16" customHeight="1" ht="12.75">
      <c r="A74" s="18" t="s">
        <v>147</v>
      </c>
      <c r="B74" s="4" t="s">
        <v>148</v>
      </c>
      <c r="C74" s="43">
        <v>23929.47258</v>
      </c>
      <c r="D74" s="43">
        <v>327.51</v>
      </c>
      <c r="E74" s="43">
        <v>0</v>
      </c>
      <c r="F74" s="43">
        <v>122.1742</v>
      </c>
      <c r="G74" s="43">
        <v>492.77</v>
      </c>
      <c r="H74" s="43">
        <v>0</v>
      </c>
      <c r="I74" s="43">
        <v>-7594.666</v>
      </c>
      <c r="J74" s="43">
        <v>133.694</v>
      </c>
      <c r="K74" s="43">
        <v>186.8</v>
      </c>
      <c r="L74" s="43">
        <v>328.484</v>
      </c>
      <c r="M74" s="43"/>
      <c r="N74" s="43"/>
      <c r="O74" s="43"/>
      <c r="P74" s="44">
        <f>SUM(C74:O74)</f>
        <v>17926.23878</v>
      </c>
    </row>
    <row r="75" spans="1:16" customHeight="1" ht="12.75">
      <c r="A75" s="18" t="s">
        <v>149</v>
      </c>
      <c r="B75" s="4" t="s">
        <v>150</v>
      </c>
      <c r="C75" s="43">
        <v>867.66842</v>
      </c>
      <c r="D75" s="43">
        <v>12.3564</v>
      </c>
      <c r="E75" s="43">
        <v>6.8484</v>
      </c>
      <c r="F75" s="43">
        <v>0</v>
      </c>
      <c r="G75" s="43">
        <v>4.653</v>
      </c>
      <c r="H75" s="43">
        <v>0</v>
      </c>
      <c r="I75" s="43">
        <v>7.77294</v>
      </c>
      <c r="J75" s="43">
        <v>10.88363</v>
      </c>
      <c r="K75" s="43">
        <v>4.54394</v>
      </c>
      <c r="L75" s="43">
        <v>0</v>
      </c>
      <c r="M75" s="43"/>
      <c r="N75" s="43"/>
      <c r="O75" s="43"/>
      <c r="P75" s="44">
        <f>SUM(C75:O75)</f>
        <v>914.72673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985.28575</v>
      </c>
      <c r="D79" s="43">
        <v>3.84865</v>
      </c>
      <c r="E79" s="43">
        <v>3.84862</v>
      </c>
      <c r="F79" s="43">
        <v>3.84864</v>
      </c>
      <c r="G79" s="43">
        <v>2.74275</v>
      </c>
      <c r="H79" s="43">
        <v>2.74276</v>
      </c>
      <c r="I79" s="43">
        <v>2.74275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1005.05992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138399.35169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138399.35169</v>
      </c>
    </row>
    <row r="84" spans="1:16" customHeight="1" ht="12.75">
      <c r="A84" s="18" t="s">
        <v>166</v>
      </c>
      <c r="B84" s="4" t="s">
        <v>167</v>
      </c>
      <c r="C84" s="43">
        <v>26374.74697</v>
      </c>
      <c r="D84" s="43">
        <v>0</v>
      </c>
      <c r="E84" s="43">
        <v>376.073</v>
      </c>
      <c r="F84" s="43">
        <v>333.37735</v>
      </c>
      <c r="G84" s="43">
        <v>0</v>
      </c>
      <c r="H84" s="43">
        <v>0</v>
      </c>
      <c r="I84" s="43">
        <v>5783.48669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32867.68401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1869.64772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-452.6215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1417.02622</v>
      </c>
    </row>
    <row r="87" spans="1:16" customHeight="1" ht="12.75">
      <c r="A87" s="18" t="s">
        <v>172</v>
      </c>
      <c r="B87" s="4" t="s">
        <v>173</v>
      </c>
      <c r="C87" s="43">
        <v>243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243</v>
      </c>
    </row>
    <row r="88" spans="1:16" customHeight="1" ht="12.75">
      <c r="A88" s="18" t="s">
        <v>174</v>
      </c>
      <c r="B88" s="4" t="s">
        <v>175</v>
      </c>
      <c r="C88" s="43">
        <v>-7262.64881</v>
      </c>
      <c r="D88" s="43">
        <v>0</v>
      </c>
      <c r="E88" s="43">
        <v>0</v>
      </c>
      <c r="F88" s="43">
        <v>29.86141</v>
      </c>
      <c r="G88" s="43">
        <v>0</v>
      </c>
      <c r="H88" s="43">
        <v>0</v>
      </c>
      <c r="I88" s="43">
        <v>-10.22647</v>
      </c>
      <c r="J88" s="43">
        <v>55.27568</v>
      </c>
      <c r="K88" s="43">
        <v>0</v>
      </c>
      <c r="L88" s="43">
        <v>0</v>
      </c>
      <c r="M88" s="43"/>
      <c r="N88" s="43"/>
      <c r="O88" s="43"/>
      <c r="P88" s="44">
        <f>SUM(C88:O88)</f>
        <v>-7187.73819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426441.42127</v>
      </c>
      <c r="D107" s="47">
        <f>SUM(D38:D106)</f>
        <v>414.85697</v>
      </c>
      <c r="E107" s="47">
        <f>SUM(E38:E106)</f>
        <v>665.85216</v>
      </c>
      <c r="F107" s="47">
        <f>SUM(F38:F106)</f>
        <v>683.93522</v>
      </c>
      <c r="G107" s="47">
        <f>SUM(G38:G106)</f>
        <v>1096.14245</v>
      </c>
      <c r="H107" s="47">
        <f>SUM(H38:H106)</f>
        <v>66.8613</v>
      </c>
      <c r="I107" s="47">
        <f>SUM(I38:I106)</f>
        <v>-9601.95389</v>
      </c>
      <c r="J107" s="47">
        <f>SUM(J38:J106)</f>
        <v>296.88964</v>
      </c>
      <c r="K107" s="47">
        <f>SUM(K38:K106)</f>
        <v>672.88303</v>
      </c>
      <c r="L107" s="47">
        <f>SUM(L38:L106)</f>
        <v>1050.6275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421787.51565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-550.73511999997</v>
      </c>
      <c r="D109" s="49">
        <f>D36-D107</f>
        <v>-414.85697</v>
      </c>
      <c r="E109" s="49">
        <f>E36-E107</f>
        <v>-665.85216</v>
      </c>
      <c r="F109" s="49">
        <f>F36-F107</f>
        <v>-683.93522</v>
      </c>
      <c r="G109" s="49">
        <f>G36-G107</f>
        <v>-1096.14245</v>
      </c>
      <c r="H109" s="49">
        <f>H36-H107</f>
        <v>-66.8613</v>
      </c>
      <c r="I109" s="49">
        <f>I36-I107</f>
        <v>9601.95389</v>
      </c>
      <c r="J109" s="49">
        <f>J36-J107</f>
        <v>-296.88964</v>
      </c>
      <c r="K109" s="49">
        <f>K36-K107</f>
        <v>-672.88303</v>
      </c>
      <c r="L109" s="49">
        <f>L36-L107</f>
        <v>1338.3725</v>
      </c>
      <c r="M109" s="49"/>
      <c r="N109" s="49"/>
      <c r="O109" s="49"/>
      <c r="P109" s="50">
        <f>P36-P107</f>
        <v>6492.1705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-985.28575</v>
      </c>
      <c r="D116" s="43">
        <f>D79*-1</f>
        <v>-3.84865</v>
      </c>
      <c r="E116" s="43">
        <f>E79*-1</f>
        <v>-3.84862</v>
      </c>
      <c r="F116" s="43">
        <f>F79*-1</f>
        <v>-3.84864</v>
      </c>
      <c r="G116" s="43">
        <f>G79*-1</f>
        <v>-2.74275</v>
      </c>
      <c r="H116" s="43">
        <f>H79*-1</f>
        <v>-2.74276</v>
      </c>
      <c r="I116" s="43">
        <f>I79*-1</f>
        <v>-2.74275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-1005.05992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2058.437189</v>
      </c>
      <c r="D118" s="45">
        <f>(D109-SUM(D111:D116)-D125-D126+D127)*-0.05/12</f>
        <v>97.20595494375</v>
      </c>
      <c r="E118" s="45">
        <f>(E109-SUM(E111:E116)-E125-E126+E127)*-0.05/12</f>
        <v>100.36932783935</v>
      </c>
      <c r="F118" s="45">
        <f>(F109-SUM(F111:F116)-F125-F126+F127)*-0.05/12</f>
        <v>103.62122745535</v>
      </c>
      <c r="G118" s="45">
        <f>(G109-SUM(G111:G116)-G125-G126+G127)*-0.05/12</f>
        <v>108.60881465308</v>
      </c>
      <c r="H118" s="45">
        <f>(H109-SUM(H111:H116)-H125-H126+H127)*-0.05/12</f>
        <v>109.32851196413</v>
      </c>
      <c r="I118" s="45">
        <f>(I109-SUM(I111:I116)-I125-I126+I127)*-0.05/12</f>
        <v>69.764478097315</v>
      </c>
      <c r="J118" s="45">
        <f>(J109-SUM(J111:J116)-J125-J126+J127)*-0.05/12</f>
        <v>71.292203589387</v>
      </c>
      <c r="K118" s="45">
        <f>(K109-SUM(K111:K116)-K125-K126+K127)*-0.05/12</f>
        <v>74.392933729343</v>
      </c>
      <c r="L118" s="45">
        <f>(L109-SUM(L111:L116)-L125-L126+L127)*-0.05/12</f>
        <v>69.922685536549</v>
      </c>
      <c r="M118" s="45"/>
      <c r="N118" s="45"/>
      <c r="O118" s="45"/>
      <c r="P118" s="46">
        <f>SUM(C118:O118)</f>
        <v>2862.9433268082</v>
      </c>
    </row>
    <row r="119" spans="1:16" customHeight="1" ht="12.75">
      <c r="A119" s="20">
        <v>4.3</v>
      </c>
      <c r="B119" s="15" t="s">
        <v>210</v>
      </c>
      <c r="C119" s="47">
        <f>SUM(C111:C118)</f>
        <v>1073.151439</v>
      </c>
      <c r="D119" s="47">
        <f>SUM(D111:D118)</f>
        <v>93.35730494375</v>
      </c>
      <c r="E119" s="47">
        <f>SUM(E111:E118)</f>
        <v>96.520707839349</v>
      </c>
      <c r="F119" s="47">
        <f>SUM(F111:F118)</f>
        <v>99.772587455346</v>
      </c>
      <c r="G119" s="47">
        <f>SUM(G111:G118)</f>
        <v>105.86606465308</v>
      </c>
      <c r="H119" s="47">
        <f>SUM(H111:H118)</f>
        <v>106.58575196413</v>
      </c>
      <c r="I119" s="47">
        <f>SUM(I111:I118)</f>
        <v>67.021728097315</v>
      </c>
      <c r="J119" s="47">
        <f>SUM(J111:J118)</f>
        <v>71.292203589387</v>
      </c>
      <c r="K119" s="47">
        <f>SUM(K111:K118)</f>
        <v>74.392933729343</v>
      </c>
      <c r="L119" s="47">
        <f>SUM(L111:L118)</f>
        <v>69.922685536549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1857.8834068082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-1623.886559</v>
      </c>
      <c r="D121" s="49">
        <f>D109-D119</f>
        <v>-508.21427494375</v>
      </c>
      <c r="E121" s="49">
        <f>E109-E119</f>
        <v>-762.37286783935</v>
      </c>
      <c r="F121" s="49">
        <f>F109-F119</f>
        <v>-783.70780745535</v>
      </c>
      <c r="G121" s="49">
        <f>G109-G119</f>
        <v>-1202.0085146531</v>
      </c>
      <c r="H121" s="49">
        <f>H109-H119</f>
        <v>-173.44705196413</v>
      </c>
      <c r="I121" s="49">
        <f>I109-I119</f>
        <v>9534.9321619027</v>
      </c>
      <c r="J121" s="49">
        <f>J109-J119</f>
        <v>-368.18184358939</v>
      </c>
      <c r="K121" s="49">
        <f>K109-K119</f>
        <v>-747.27596372934</v>
      </c>
      <c r="L121" s="49">
        <f>L109-L119</f>
        <v>1268.4498144635</v>
      </c>
      <c r="M121" s="49"/>
      <c r="N121" s="49"/>
      <c r="O121" s="49"/>
      <c r="P121" s="50">
        <f>P109-P119</f>
        <v>4634.2870931918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12776.7205845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143.34</v>
      </c>
      <c r="M125" s="43"/>
      <c r="N125" s="43"/>
      <c r="O125" s="43"/>
      <c r="P125" s="44">
        <f>SUM(C125:O125)</f>
        <v>12920.0605845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8517.813723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47.78</v>
      </c>
      <c r="M126" s="43"/>
      <c r="N126" s="43"/>
      <c r="O126" s="43"/>
      <c r="P126" s="44">
        <f>(P36-P18-P20-P33)*0.020000</f>
        <v>8565.593723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-22918.4208665</v>
      </c>
      <c r="E127" s="43">
        <f>D129</f>
        <v>-23426.635141444</v>
      </c>
      <c r="F127" s="43">
        <f>E129</f>
        <v>-24189.008009283</v>
      </c>
      <c r="G127" s="43">
        <f>F129</f>
        <v>-24972.715816738</v>
      </c>
      <c r="H127" s="43">
        <f>G129</f>
        <v>-26174.724331391</v>
      </c>
      <c r="I127" s="43">
        <f>H129</f>
        <v>-26348.171383356</v>
      </c>
      <c r="J127" s="43">
        <f>I129</f>
        <v>-16813.239221453</v>
      </c>
      <c r="K127" s="43">
        <f>J129</f>
        <v>-17181.421065042</v>
      </c>
      <c r="L127" s="43">
        <f>K129</f>
        <v>-17928.697028772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-22918.4208665</v>
      </c>
      <c r="D129" s="51">
        <f>D121-SUM(D125:D126)+IF(ISBLANK(D127), 0, D127)</f>
        <v>-23426.635141444</v>
      </c>
      <c r="E129" s="51">
        <f>E121-SUM(E125:E126)+IF(ISBLANK(E127), 0, E127)</f>
        <v>-24189.008009283</v>
      </c>
      <c r="F129" s="51">
        <f>F121-SUM(F125:F126)+IF(ISBLANK(F127), 0, F127)</f>
        <v>-24972.715816738</v>
      </c>
      <c r="G129" s="51">
        <f>G121-SUM(G125:G126)+IF(ISBLANK(G127), 0, G127)</f>
        <v>-26174.724331391</v>
      </c>
      <c r="H129" s="51">
        <f>H121-SUM(H125:H126)+IF(ISBLANK(H127), 0, H127)</f>
        <v>-26348.171383356</v>
      </c>
      <c r="I129" s="51">
        <f>I121-SUM(I125:I126)+IF(ISBLANK(I127), 0, I127)</f>
        <v>-16813.239221453</v>
      </c>
      <c r="J129" s="51">
        <f>J121-SUM(J125:J126)+IF(ISBLANK(J127), 0, J127)</f>
        <v>-17181.421065042</v>
      </c>
      <c r="K129" s="51">
        <f>K121-SUM(K125:K126)+IF(ISBLANK(K127), 0, K127)</f>
        <v>-17928.697028772</v>
      </c>
      <c r="L129" s="51">
        <f>L121-SUM(L125:L126)+IF(ISBLANK(L127), 0, L127)</f>
        <v>-16851.367214308</v>
      </c>
      <c r="M129" s="51"/>
      <c r="N129" s="51"/>
      <c r="O129" s="51"/>
      <c r="P129" s="52">
        <f>P121-SUM(P125:P126)+IF(ISBLANK(P127), 0, P127)</f>
        <v>-16851.367214308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