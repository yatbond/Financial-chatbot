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<sst xmlns="http://schemas.openxmlformats.org/spreadsheetml/2006/main" uniqueCount="237">
  <si>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Vasteam Construction Limited</t>
  </si>
  <si>
    <t>Print Date: 2026-01-13</t>
  </si>
  <si>
    <t>Project Code:</t>
  </si>
  <si>
    <t>Project Name:</t>
  </si>
  <si>
    <t>Contract No. 18/WSD/21 Uprating of Pui O Raw Water Pumping Station and Pui O No. 2 Raw Water Pumping Station and Laying of Raw Water Mains along South Lantau Road</t>
  </si>
  <si>
    <t>Report Date:</t>
  </si>
  <si>
    <t>2025-12-31</t>
  </si>
  <si>
    <t>Start Date:</t>
  </si>
  <si>
    <t>2022-06-08</t>
  </si>
  <si>
    <t>Monthly Financial Report</t>
  </si>
  <si>
    <t>Complete Date:</t>
  </si>
  <si>
    <t>2026-10-08                                Time Consumed (%):</t>
  </si>
  <si>
    <t>Confidential</t>
  </si>
  <si>
    <t>Target Complete Date:</t>
  </si>
  <si>
    <t>2026-11-25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</si>
  <si>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</si>
  <si>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</si>
  <si>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</si>
  <si>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</si>
  <si>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</si>
  <si>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</si>
  <si>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</si>
  <si>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</si>
  <si>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</si>
  <si>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</si>
  <si>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</si>
  <si>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</si>
  <si>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</si>
  <si>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</si>
  <si>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</si>
  <si>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</si>
  <si>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</si>
  <si>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</si>
  <si>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</si>
  <si>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</si>
  <si>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</si>
  <si>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</si>
  <si>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</si>
  <si>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</si>
  <si>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</si>
  <si>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</si>
  <si>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</si>
  <si>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</si>
  <si>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</si>
  <si>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</si>
  <si>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</si>
  <si>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</si>
  <si>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</si>
  <si>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</si>
  <si>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</si>
  <si>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</si>
  <si>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</si>
  <si>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</si>
  <si>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</si>
  <si>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</si>
  <si>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</si>
  <si>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</si>
  <si>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</si>
  <si>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</si>
  <si>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</si>
  <si>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</si>
  <si>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</si>
  <si>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</si>
  <si>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</si>
  <si>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</si>
  <si>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</si>
  <si>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</si>
  <si>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</si>
  <si>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</si>
  <si>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</si>
  <si>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</si>
  <si>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</si>
  <si>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</si>
  <si>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</si>
  <si>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</si>
  <si>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</si>
  <si>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</si>
  <si>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</si>
  <si>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</si>
  <si>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</si>
  <si>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</si>
  <si>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</si>
  <si>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</si>
  <si>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</si>
  <si>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</si>
  <si>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</si>
  <si>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</si>
  <si>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</si>
  <si>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</si>
  <si>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</si>
  <si>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</si>
  <si>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</si>
  <si>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</si>
  <si>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</si>
  <si>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</si>
  <si>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</si>
  <si>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</si>
  <si>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</si>
  <si>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</si>
  <si>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</si>
  <si>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</si>
  <si>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</si>
  <si>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</si>
  <si>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</si>
  <si>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</si>
  <si>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</si>
  <si>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</si>
  <si>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</si>
  <si>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</si>
  <si>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</si>
  <si>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</si>
  <si>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</si>
  <si>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</si>
  <si>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</si>
  <si>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</si>
  <si>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</si>
  <si>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</si>
  <si>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</si>
  <si>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</si>
  <si>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</si>
  <si>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</si>
  <si>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</si>
  <si>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</si>
  <si>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</si>
  <si>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</si>
  <si>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</si>
  <si>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</si>
  <si>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</si>
  <si>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</si>
  <si>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</si>
  <si>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</si>
  <si>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</si>
  <si>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</si>
  <si>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</si>
  <si>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</si>
  <si>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</si>
  <si>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</si>
  <si>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</si>
  <si>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</si>
  <si>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</si>
  <si>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</si>
  <si>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</si>
  <si>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</si>
  <si>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</si>
  <si>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</si>
  <si>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</si>
  <si>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</si>
  <si>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</si>
  <si>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</si>
  <si>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</si>
  <si>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</si>
  <si>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</si>
  <si>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</si>
  <si>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</si>
  <si>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</si>
  <si>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</si>
  <si>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</si>
  <si>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</si>
  <si>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</si>
  <si>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</si>
  <si>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</si>
  <si>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</si>
  <si>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</si>
  <si>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</si>
  <si>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</si>
  <si>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</si>
  <si>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</si>
  <si>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</si>
  <si>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</si>
  <si>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</si>
  <si>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</si>
  <si>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</si>
  <si>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</si>
  <si>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</si>
  <si>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</si>
  <si>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</si>
  <si>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</si>
  <si>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</si>
  <si>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</si>
  <si>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</si>
  <si>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</si>
  <si>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</si>
  <si>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</si>
  <si>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</si>
  <si>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</si>
  <si>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</si>
  <si>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</si>
  <si>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</si>
  <si>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</si>
  <si>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</si>
  <si>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</si>
  <si>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</si>
  <si>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</si>
  <si>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</si>
  <si>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</si>
  <si>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</si>
  <si>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</si>
  <si>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</si>
  <si>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</si>
  <si>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</si>
  <si>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</si>
  <si>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</si>
  <si>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</si>
  <si>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</si>
  <si>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</si>
  <si>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</si>
  <si>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</si>
  <si>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</si>
  <si>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</si>
  <si>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</si>
  <si>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</si>
  <si>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</si>
  <si>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</si>
  <si>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</si>
  <si>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</si>
  <si>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</si>
  <si>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</si>
  <si>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(0.0000%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</si>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</sst>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1057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342900</v>
      </c>
      <c r="D17" s="43">
        <v>342900</v>
      </c>
      <c r="E17" s="43">
        <v>0</v>
      </c>
      <c r="F17" s="43">
        <f>D17+E17</f>
        <v>342900</v>
      </c>
      <c r="G17" s="43">
        <v>342900</v>
      </c>
      <c r="H17" s="43">
        <v>342900</v>
      </c>
      <c r="I17" s="43">
        <f>IF(H17="", "", J17-H17)</f>
        <v>0</v>
      </c>
      <c r="J17" s="43">
        <f>IF(ISBLANK(Projection!P14), "", Projection!P14)</f>
        <v>342900</v>
      </c>
      <c r="K17" s="43">
        <f>IF(ISBLANK('Committed Cost'!P14), "", 'Committed Cost'!P14)</f>
        <v>342900</v>
      </c>
      <c r="L17" s="37">
        <f>IFERROR(IF(ISBLANK(F17), "", K17/F17), 0)</f>
        <v>1</v>
      </c>
      <c r="M17" s="43">
        <f>IF(F17="", "", F17-K17)</f>
        <v>0</v>
      </c>
      <c r="N17" s="43">
        <f>IF(ISBLANK(Accrual!P14), "", Accrual!P14)</f>
        <v>362872.99</v>
      </c>
      <c r="O17" s="43">
        <f>IF(ISBLANK('Cash Flow'!P14), "",'Cash Flow'!P14)</f>
        <v>354090.93</v>
      </c>
      <c r="P17" s="37">
        <f>IFERROR(IF(O17="", "", O17/K17), 0)</f>
        <v>1.0326361329834</v>
      </c>
      <c r="Q17" s="44">
        <f>IF(K17="", "", K17-O17)</f>
        <v>-11190.93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38553</v>
      </c>
      <c r="D19" s="43">
        <v>54468</v>
      </c>
      <c r="E19" s="43">
        <v>0</v>
      </c>
      <c r="F19" s="43">
        <f>D19+E19</f>
        <v>54468</v>
      </c>
      <c r="G19" s="43">
        <v>74852</v>
      </c>
      <c r="H19" s="43">
        <v>74852</v>
      </c>
      <c r="I19" s="43">
        <f>IF(H19="", "", J19-H19)</f>
        <v>0</v>
      </c>
      <c r="J19" s="43">
        <f>IF(ISBLANK(Projection!P16), "", Projection!P16)</f>
        <v>74852</v>
      </c>
      <c r="K19" s="43">
        <f>IF(ISBLANK('Committed Cost'!P16), "", 'Committed Cost'!P16)</f>
        <v>49356.73</v>
      </c>
      <c r="L19" s="37">
        <f>IFERROR(IF(ISBLANK(F19), "", K19/F19), 0)</f>
        <v>0.90616013071895</v>
      </c>
      <c r="M19" s="43">
        <f>IF(F19="", "", F19-K19)</f>
        <v>5111.27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49356.73</v>
      </c>
    </row>
    <row r="20" spans="1:18" customHeight="1" ht="12.75">
      <c r="A20" s="18" t="s">
        <v>54</v>
      </c>
      <c r="B20" s="4" t="s">
        <v>55</v>
      </c>
      <c r="C20" s="43">
        <v>7325</v>
      </c>
      <c r="D20" s="43">
        <v>10349</v>
      </c>
      <c r="E20" s="43">
        <v>0</v>
      </c>
      <c r="F20" s="43">
        <f>D20+E20</f>
        <v>10349</v>
      </c>
      <c r="G20" s="43">
        <v>14222</v>
      </c>
      <c r="H20" s="43">
        <v>14222</v>
      </c>
      <c r="I20" s="43">
        <f>IF(H20="", "", J20-H20)</f>
        <v>0</v>
      </c>
      <c r="J20" s="43">
        <f>IF(ISBLANK(Projection!P17), "", Projection!P17)</f>
        <v>14222</v>
      </c>
      <c r="K20" s="43">
        <f>IF(ISBLANK('Committed Cost'!P17), "", 'Committed Cost'!P17)</f>
        <v>9378.17</v>
      </c>
      <c r="L20" s="37">
        <f>IFERROR(IF(ISBLANK(F20), "", K20/F20), 0)</f>
        <v>0.90619093632235</v>
      </c>
      <c r="M20" s="43">
        <f>IF(F20="", "", F20-K20)</f>
        <v>970.83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9378.17</v>
      </c>
    </row>
    <row r="21" spans="1:18" customHeight="1" ht="12.75">
      <c r="A21" s="18">
        <v>1.3</v>
      </c>
      <c r="B21" s="4" t="s">
        <v>56</v>
      </c>
      <c r="C21" s="43">
        <v>10002</v>
      </c>
      <c r="D21" s="43">
        <v>5569</v>
      </c>
      <c r="E21" s="43">
        <v>0</v>
      </c>
      <c r="F21" s="43">
        <f>D21+E21</f>
        <v>5569</v>
      </c>
      <c r="G21" s="43">
        <v>5569</v>
      </c>
      <c r="H21" s="43">
        <v>5569</v>
      </c>
      <c r="I21" s="43">
        <f>IF(H21="", "", J21-H21)</f>
        <v>0</v>
      </c>
      <c r="J21" s="43">
        <f>IF(ISBLANK(Projection!P18), "", Projection!P18)</f>
        <v>5569</v>
      </c>
      <c r="K21" s="43">
        <f>IF(ISBLANK('Committed Cost'!P18), "", 'Committed Cost'!P18)</f>
        <v>3856.62</v>
      </c>
      <c r="L21" s="37">
        <f>IFERROR(IF(ISBLANK(F21), "", K21/F21), 0)</f>
        <v>0.69251571197702</v>
      </c>
      <c r="M21" s="43">
        <f>IF(F21="", "", F21-K21)</f>
        <v>1712.38</v>
      </c>
      <c r="N21" s="43">
        <f>IF(ISBLANK(Accrual!P18), "", Accrual!P18)</f>
        <v>6763.58</v>
      </c>
      <c r="O21" s="43">
        <f>IF(ISBLANK('Cash Flow'!P18), "",'Cash Flow'!P18)</f>
        <v>6020.08</v>
      </c>
      <c r="P21" s="37">
        <f>IFERROR(IF(O21="", "", O21/K21), 0)</f>
        <v>1.5609730800546</v>
      </c>
      <c r="Q21" s="44">
        <f>IF(K21="", "", K21-O21)</f>
        <v>-2163.46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58086</v>
      </c>
      <c r="D26" s="43">
        <v>64910</v>
      </c>
      <c r="E26" s="43">
        <v>0</v>
      </c>
      <c r="F26" s="43">
        <f>D26+E26</f>
        <v>64910</v>
      </c>
      <c r="G26" s="43">
        <v>21191</v>
      </c>
      <c r="H26" s="43">
        <v>21191</v>
      </c>
      <c r="I26" s="43">
        <f>IF(H26="", "", J26-H26)</f>
        <v>0</v>
      </c>
      <c r="J26" s="43">
        <f>IF(ISBLANK(Projection!P23), "", Projection!P23)</f>
        <v>21191</v>
      </c>
      <c r="K26" s="43">
        <f>IF(ISBLANK('Committed Cost'!P23), "", 'Committed Cost'!P23)</f>
        <v>8448.5</v>
      </c>
      <c r="L26" s="37">
        <f>IFERROR(IF(ISBLANK(F26), "", K26/F26), 0)</f>
        <v>0.13015714065629</v>
      </c>
      <c r="M26" s="43">
        <f>IF(F26="", "", F26-K26)</f>
        <v>56461.5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8448.5</v>
      </c>
    </row>
    <row r="27" spans="1:18" customHeight="1" ht="12.75" hidden="true">
      <c r="A27" s="18">
        <v>1.9</v>
      </c>
      <c r="B27" s="4" t="s">
        <v>62</v>
      </c>
      <c r="C27" s="43">
        <v>0</v>
      </c>
      <c r="D27" s="43">
        <v>0</v>
      </c>
      <c r="E27" s="43">
        <v>0</v>
      </c>
      <c r="F27" s="43">
        <f>D27+E27</f>
        <v>0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0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153962</v>
      </c>
      <c r="H28" s="43">
        <v>153962</v>
      </c>
      <c r="I28" s="43">
        <f>IF(H28="", "", J28-H28)</f>
        <v>0</v>
      </c>
      <c r="J28" s="43">
        <f>IF(ISBLANK(Projection!P25), "", Projection!P25)</f>
        <v>153962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0</v>
      </c>
      <c r="P28" s="37">
        <f>IFERROR(IF(O28="", "", O28/K28), 0)</f>
        <v>0</v>
      </c>
      <c r="Q28" s="44">
        <f>IF(K28="", "", K28-O28)</f>
        <v>0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 hidden="true">
      <c r="A31" s="18" t="s">
        <v>67</v>
      </c>
      <c r="B31" s="4" t="s">
        <v>68</v>
      </c>
      <c r="C31" s="43">
        <v>0</v>
      </c>
      <c r="D31" s="43">
        <v>0</v>
      </c>
      <c r="E31" s="43">
        <v>0</v>
      </c>
      <c r="F31" s="43">
        <f>D31+E31</f>
        <v>0</v>
      </c>
      <c r="G31" s="43">
        <v>0</v>
      </c>
      <c r="H31" s="43">
        <v>0</v>
      </c>
      <c r="I31" s="43">
        <f>IF(H31="", "", J31-H31)</f>
        <v>0</v>
      </c>
      <c r="J31" s="43">
        <f>IF(ISBLANK(Projection!P28), "", Projection!P28)</f>
        <v>0</v>
      </c>
      <c r="K31" s="43">
        <f>IF(ISBLANK('Committed Cost'!P28), "", 'Committed Cost'!P28)</f>
        <v>0</v>
      </c>
      <c r="L31" s="37">
        <f>IFERROR(IF(ISBLANK(F31), "", K31/F31), 0)</f>
        <v>0</v>
      </c>
      <c r="M31" s="43">
        <f>IF(F31="", "", F31-K31)</f>
        <v>0</v>
      </c>
      <c r="N31" s="43">
        <f>IF(ISBLANK(Accrual!P28), "", Accrual!P28)</f>
        <v>0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0</v>
      </c>
    </row>
    <row r="32" spans="1:18" customHeight="1" ht="12.75">
      <c r="A32" s="18" t="s">
        <v>69</v>
      </c>
      <c r="B32" s="4" t="s">
        <v>70</v>
      </c>
      <c r="C32" s="43">
        <v>16660</v>
      </c>
      <c r="D32" s="43">
        <v>23910</v>
      </c>
      <c r="E32" s="43">
        <v>0</v>
      </c>
      <c r="F32" s="43">
        <f>D32+E32</f>
        <v>23910</v>
      </c>
      <c r="G32" s="43">
        <v>23910</v>
      </c>
      <c r="H32" s="43">
        <v>23910</v>
      </c>
      <c r="I32" s="43">
        <f>IF(H32="", "", J32-H32)</f>
        <v>0</v>
      </c>
      <c r="J32" s="43">
        <f>IF(ISBLANK(Projection!P29), "", Projection!P29)</f>
        <v>23910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23910</v>
      </c>
      <c r="N32" s="43">
        <f>IF(ISBLANK(Accrual!P29), "", Accrual!P29)</f>
        <v>-9759</v>
      </c>
      <c r="O32" s="43">
        <f>IF(ISBLANK('Cash Flow'!P29), "",'Cash Flow'!P29)</f>
        <v>-8652.68</v>
      </c>
      <c r="P32" s="37">
        <f>IFERROR(IF(O32="", "", O32/K32), 0)</f>
        <v>0</v>
      </c>
      <c r="Q32" s="44">
        <f>IF(K32="", "", K32-O32)</f>
        <v>8652.68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-3541.02</v>
      </c>
      <c r="P35" s="37">
        <f>IFERROR(IF(O35="", "", O35/K35), 0)</f>
        <v>0</v>
      </c>
      <c r="Q35" s="44">
        <f>IF(K35="", "", K35-O35)</f>
        <v>3541.02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473526</v>
      </c>
      <c r="D39" s="47">
        <f>SUM(D15:D38)</f>
        <v>502106</v>
      </c>
      <c r="E39" s="47">
        <f>SUM(E15:E38)</f>
        <v>0</v>
      </c>
      <c r="F39" s="47">
        <f>SUM(F15:F38)</f>
        <v>502106</v>
      </c>
      <c r="G39" s="47">
        <f>SUM(G15:G38)</f>
        <v>636606</v>
      </c>
      <c r="H39" s="47">
        <f>SUM(H15:H38)</f>
        <v>636606</v>
      </c>
      <c r="I39" s="47">
        <f>IF(H39="", "", J39-H39)</f>
        <v>0</v>
      </c>
      <c r="J39" s="47">
        <f>IF(ISBLANK(Projection!P36), "", Projection!P36)</f>
        <v>636606</v>
      </c>
      <c r="K39" s="47">
        <f>IF(ISBLANK('Committed Cost'!P36), "", 'Committed Cost'!P36)</f>
        <v>413940.02</v>
      </c>
      <c r="L39" s="39">
        <f>IFERROR(IF(ISBLANK(F39), "", K39/F39), 0)</f>
        <v>0.82440763504121</v>
      </c>
      <c r="M39" s="47">
        <f>IF(F39="", "", F39-K39)</f>
        <v>88165.98</v>
      </c>
      <c r="N39" s="47">
        <f>IF(ISBLANK(Accrual!P36), "", Accrual!P36)</f>
        <v>359877.57</v>
      </c>
      <c r="O39" s="47">
        <f>IF(ISBLANK('Cash Flow'!P36), "",'Cash Flow'!P36)</f>
        <v>347917.31</v>
      </c>
      <c r="P39" s="39">
        <f>IFERROR(IF(O39="", "", O39/K39), 0)</f>
        <v>0.84050174708887</v>
      </c>
      <c r="Q39" s="48">
        <f>IF(K39="", "", K39-O39)</f>
        <v>66022.71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29947.232</v>
      </c>
      <c r="D43" s="43">
        <v>38671.019</v>
      </c>
      <c r="E43" s="43">
        <v>0.0</v>
      </c>
      <c r="F43" s="43">
        <f>D43+E43</f>
        <v>38671.019</v>
      </c>
      <c r="G43" s="43">
        <v>47271</v>
      </c>
      <c r="H43" s="43">
        <v>47271</v>
      </c>
      <c r="I43" s="43">
        <f>IF(H43="", "", J43-H43)</f>
        <v>4000</v>
      </c>
      <c r="J43" s="43">
        <f>IF(ISBLANK(Projection!P40), "", Projection!P40)</f>
        <v>51271</v>
      </c>
      <c r="K43" s="43">
        <f>IF(ISBLANK('Committed Cost'!P40), "", 'Committed Cost'!P40)</f>
        <v>47547.1691</v>
      </c>
      <c r="L43" s="37">
        <f>IFERROR(IF(ISBLANK(F43), "", K43/F43), 0)</f>
        <v>1.2295297700844</v>
      </c>
      <c r="M43" s="43">
        <f>IF(F43="", "", F43-K43)</f>
        <v>-8876.1501</v>
      </c>
      <c r="N43" s="43">
        <f>IF(ISBLANK(Accrual!P40), "", Accrual!P40)</f>
        <v>47547.1691</v>
      </c>
      <c r="O43" s="43">
        <f>IF(ISBLANK('Cash Flow'!P40), "",'Cash Flow'!P40)</f>
        <v>47547.1591</v>
      </c>
      <c r="P43" s="37">
        <f>IFERROR(IF(O43="", "", O43/K43), 0)</f>
        <v>0.99999978968254</v>
      </c>
      <c r="Q43" s="44">
        <f>IF(K43="", "", K43-O43)</f>
        <v>0.010000000002037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49</v>
      </c>
      <c r="H44" s="43">
        <v>334</v>
      </c>
      <c r="I44" s="43">
        <f>IF(H44="", "", J44-H44)</f>
        <v>80</v>
      </c>
      <c r="J44" s="43">
        <f>IF(ISBLANK(Projection!P41), "", Projection!P41)</f>
        <v>414</v>
      </c>
      <c r="K44" s="43">
        <f>IF(ISBLANK('Committed Cost'!P41), "", 'Committed Cost'!P41)</f>
        <v>413.5996</v>
      </c>
      <c r="L44" s="37">
        <f>IFERROR(IF(ISBLANK(F44), "", K44/F44), 0)</f>
        <v>0</v>
      </c>
      <c r="M44" s="43">
        <f>IF(F44="", "", F44-K44)</f>
        <v>-413.5996</v>
      </c>
      <c r="N44" s="43">
        <f>IF(ISBLANK(Accrual!P41), "", Accrual!P41)</f>
        <v>413.5996</v>
      </c>
      <c r="O44" s="43">
        <f>IF(ISBLANK('Cash Flow'!P41), "",'Cash Flow'!P41)</f>
        <v>413.5996</v>
      </c>
      <c r="P44" s="37">
        <f>IFERROR(IF(O44="", "", O44/K44), 0)</f>
        <v>1</v>
      </c>
      <c r="Q44" s="44">
        <f>IF(K44="", "", K44-O44)</f>
        <v>0</v>
      </c>
    </row>
    <row r="45" spans="1:18" customHeight="1" ht="12.75">
      <c r="A45" s="18" t="s">
        <v>85</v>
      </c>
      <c r="B45" s="4" t="s">
        <v>86</v>
      </c>
      <c r="C45" s="43">
        <v>9776.0</v>
      </c>
      <c r="D45" s="43">
        <v>9776.0</v>
      </c>
      <c r="E45" s="43">
        <v>0.0</v>
      </c>
      <c r="F45" s="43">
        <f>D45+E45</f>
        <v>9776</v>
      </c>
      <c r="G45" s="43">
        <v>7776</v>
      </c>
      <c r="H45" s="43">
        <v>7776</v>
      </c>
      <c r="I45" s="43">
        <f>IF(H45="", "", J45-H45)</f>
        <v>0</v>
      </c>
      <c r="J45" s="43">
        <f>IF(ISBLANK(Projection!P42), "", Projection!P42)</f>
        <v>7776</v>
      </c>
      <c r="K45" s="43">
        <f>IF(ISBLANK('Committed Cost'!P42), "", 'Committed Cost'!P42)</f>
        <v>6231.0796</v>
      </c>
      <c r="L45" s="37">
        <f>IFERROR(IF(ISBLANK(F45), "", K45/F45), 0)</f>
        <v>0.63738539279869</v>
      </c>
      <c r="M45" s="43">
        <f>IF(F45="", "", F45-K45)</f>
        <v>3544.9204</v>
      </c>
      <c r="N45" s="43">
        <f>IF(ISBLANK(Accrual!P42), "", Accrual!P42)</f>
        <v>6231.0796</v>
      </c>
      <c r="O45" s="43">
        <f>IF(ISBLANK('Cash Flow'!P42), "",'Cash Flow'!P42)</f>
        <v>6231.0796</v>
      </c>
      <c r="P45" s="37">
        <f>IFERROR(IF(O45="", "", O45/K45), 0)</f>
        <v>1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0.0</v>
      </c>
      <c r="D46" s="43">
        <v>3517.455</v>
      </c>
      <c r="E46" s="43">
        <v>0.0</v>
      </c>
      <c r="F46" s="43">
        <f>D46+E46</f>
        <v>3517.455</v>
      </c>
      <c r="G46" s="43">
        <v>5799</v>
      </c>
      <c r="H46" s="43">
        <v>5799</v>
      </c>
      <c r="I46" s="43">
        <f>IF(H46="", "", J46-H46)</f>
        <v>0</v>
      </c>
      <c r="J46" s="43">
        <f>IF(ISBLANK(Projection!P43), "", Projection!P43)</f>
        <v>5799</v>
      </c>
      <c r="K46" s="43">
        <f>IF(ISBLANK('Committed Cost'!P43), "", 'Committed Cost'!P43)</f>
        <v>5308.35343</v>
      </c>
      <c r="L46" s="37">
        <f>IFERROR(IF(ISBLANK(F46), "", K46/F46), 0)</f>
        <v>1.5091460814708</v>
      </c>
      <c r="M46" s="43">
        <f>IF(F46="", "", F46-K46)</f>
        <v>-1790.89843</v>
      </c>
      <c r="N46" s="43">
        <f>IF(ISBLANK(Accrual!P43), "", Accrual!P43)</f>
        <v>5308.35343</v>
      </c>
      <c r="O46" s="43">
        <f>IF(ISBLANK('Cash Flow'!P43), "",'Cash Flow'!P43)</f>
        <v>5308.35343</v>
      </c>
      <c r="P46" s="37">
        <f>IFERROR(IF(O46="", "", O46/K46), 0)</f>
        <v>1</v>
      </c>
      <c r="Q46" s="44">
        <f>IF(K46="", "", K46-O46)</f>
        <v>0</v>
      </c>
    </row>
    <row r="47" spans="1:18" customHeight="1" ht="12.75">
      <c r="A47" s="18" t="s">
        <v>89</v>
      </c>
      <c r="B47" s="4" t="s">
        <v>90</v>
      </c>
      <c r="C47" s="43">
        <v>10912.877</v>
      </c>
      <c r="D47" s="43">
        <v>11882.192</v>
      </c>
      <c r="E47" s="43">
        <v>0.0</v>
      </c>
      <c r="F47" s="43">
        <f>D47+E47</f>
        <v>11882.192</v>
      </c>
      <c r="G47" s="43">
        <v>11879</v>
      </c>
      <c r="H47" s="43">
        <v>11879</v>
      </c>
      <c r="I47" s="43">
        <f>IF(H47="", "", J47-H47)</f>
        <v>0</v>
      </c>
      <c r="J47" s="43">
        <f>IF(ISBLANK(Projection!P44), "", Projection!P44)</f>
        <v>11879</v>
      </c>
      <c r="K47" s="43">
        <f>IF(ISBLANK('Committed Cost'!P44), "", 'Committed Cost'!P44)</f>
        <v>9080.198</v>
      </c>
      <c r="L47" s="37">
        <f>IFERROR(IF(ISBLANK(F47), "", K47/F47), 0)</f>
        <v>0.76418542975909</v>
      </c>
      <c r="M47" s="43">
        <f>IF(F47="", "", F47-K47)</f>
        <v>2801.994</v>
      </c>
      <c r="N47" s="43">
        <f>IF(ISBLANK(Accrual!P44), "", Accrual!P44)</f>
        <v>9080.198</v>
      </c>
      <c r="O47" s="43">
        <f>IF(ISBLANK('Cash Flow'!P44), "",'Cash Flow'!P44)</f>
        <v>9034.667</v>
      </c>
      <c r="P47" s="37">
        <f>IFERROR(IF(O47="", "", O47/K47), 0)</f>
        <v>0.99498568203028</v>
      </c>
      <c r="Q47" s="44">
        <f>IF(K47="", "", K47-O47)</f>
        <v>45.531000000001</v>
      </c>
    </row>
    <row r="48" spans="1:18" customHeight="1" ht="12.75">
      <c r="A48" s="18" t="s">
        <v>91</v>
      </c>
      <c r="B48" s="4" t="s">
        <v>92</v>
      </c>
      <c r="C48" s="43">
        <v>-113426.42473</v>
      </c>
      <c r="D48" s="43">
        <v>31536.36267</v>
      </c>
      <c r="E48" s="43">
        <v>0.0</v>
      </c>
      <c r="F48" s="43">
        <f>D48+E48</f>
        <v>31536.36267</v>
      </c>
      <c r="G48" s="43">
        <v>25645.59</v>
      </c>
      <c r="H48" s="43">
        <v>28671</v>
      </c>
      <c r="I48" s="43">
        <f>IF(H48="", "", J48-H48)</f>
        <v>3499.59</v>
      </c>
      <c r="J48" s="43">
        <f>IF(ISBLANK(Projection!P45), "", Projection!P45)</f>
        <v>32170.59</v>
      </c>
      <c r="K48" s="43">
        <f>IF(ISBLANK('Committed Cost'!P45), "", 'Committed Cost'!P45)</f>
        <v>31690.01757</v>
      </c>
      <c r="L48" s="37">
        <f>IFERROR(IF(ISBLANK(F48), "", K48/F48), 0)</f>
        <v>1.0048723088838</v>
      </c>
      <c r="M48" s="43">
        <f>IF(F48="", "", F48-K48)</f>
        <v>-153.6549</v>
      </c>
      <c r="N48" s="43">
        <f>IF(ISBLANK(Accrual!P45), "", Accrual!P45)</f>
        <v>29074.23683</v>
      </c>
      <c r="O48" s="43">
        <f>IF(ISBLANK('Cash Flow'!P45), "",'Cash Flow'!P45)</f>
        <v>27136.02569</v>
      </c>
      <c r="P48" s="37">
        <f>IFERROR(IF(O48="", "", O48/K48), 0)</f>
        <v>0.85629569721946</v>
      </c>
      <c r="Q48" s="44">
        <f>IF(K48="", "", K48-O48)</f>
        <v>4553.99188</v>
      </c>
    </row>
    <row r="49" spans="1:18" customHeight="1" ht="12.75" hidden="true">
      <c r="A49" s="18" t="s">
        <v>93</v>
      </c>
      <c r="B49" s="4" t="s">
        <v>94</v>
      </c>
      <c r="C49" s="43">
        <v>0</v>
      </c>
      <c r="D49" s="43">
        <v>0</v>
      </c>
      <c r="E49" s="43">
        <v>0</v>
      </c>
      <c r="F49" s="43">
        <f>D49+E49</f>
        <v>0</v>
      </c>
      <c r="G49" s="43">
        <v>0</v>
      </c>
      <c r="H49" s="43">
        <v>0</v>
      </c>
      <c r="I49" s="43">
        <f>IF(H49="", "", J49-H49)</f>
        <v>0</v>
      </c>
      <c r="J49" s="43">
        <f>IF(ISBLANK(Projection!P46), "", Projection!P46)</f>
        <v>0</v>
      </c>
      <c r="K49" s="43">
        <f>IF(ISBLANK('Committed Cost'!P46), "", 'Committed Cost'!P46)</f>
        <v>0</v>
      </c>
      <c r="L49" s="37">
        <f>IFERROR(IF(ISBLANK(F49), "", K49/F49), 0)</f>
        <v>0</v>
      </c>
      <c r="M49" s="43">
        <f>IF(F49="", "", F49-K49)</f>
        <v>0</v>
      </c>
      <c r="N49" s="43">
        <f>IF(ISBLANK(Accrual!P46), "", Accrual!P46)</f>
        <v>0</v>
      </c>
      <c r="O49" s="43">
        <f>IF(ISBLANK('Cash Flow'!P46), "",'Cash Flow'!P46)</f>
        <v>0</v>
      </c>
      <c r="P49" s="37">
        <f>IFERROR(IF(O49="", "", O49/K49), 0)</f>
        <v>0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0.0</v>
      </c>
      <c r="D50" s="43">
        <v>0.0</v>
      </c>
      <c r="E50" s="43">
        <v>0.0</v>
      </c>
      <c r="F50" s="43">
        <f>D50+E50</f>
        <v>0</v>
      </c>
      <c r="G50" s="43">
        <v>275</v>
      </c>
      <c r="H50" s="43">
        <v>325</v>
      </c>
      <c r="I50" s="43">
        <f>IF(H50="", "", J50-H50)</f>
        <v>0</v>
      </c>
      <c r="J50" s="43">
        <f>IF(ISBLANK(Projection!P47), "", Projection!P47)</f>
        <v>325</v>
      </c>
      <c r="K50" s="43">
        <f>IF(ISBLANK('Committed Cost'!P47), "", 'Committed Cost'!P47)</f>
        <v>283.91574</v>
      </c>
      <c r="L50" s="37">
        <f>IFERROR(IF(ISBLANK(F50), "", K50/F50), 0)</f>
        <v>0</v>
      </c>
      <c r="M50" s="43">
        <f>IF(F50="", "", F50-K50)</f>
        <v>-283.91574</v>
      </c>
      <c r="N50" s="43">
        <f>IF(ISBLANK(Accrual!P47), "", Accrual!P47)</f>
        <v>283.91574</v>
      </c>
      <c r="O50" s="43">
        <f>IF(ISBLANK('Cash Flow'!P47), "",'Cash Flow'!P47)</f>
        <v>280.08674</v>
      </c>
      <c r="P50" s="37">
        <f>IFERROR(IF(O50="", "", O50/K50), 0)</f>
        <v>0.98651360435318</v>
      </c>
      <c r="Q50" s="44">
        <f>IF(K50="", "", K50-O50)</f>
        <v>3.829</v>
      </c>
    </row>
    <row r="51" spans="1:18" customHeight="1" ht="12.75">
      <c r="A51" s="18" t="s">
        <v>97</v>
      </c>
      <c r="B51" s="4" t="s">
        <v>98</v>
      </c>
      <c r="C51" s="43">
        <v>20991.95535</v>
      </c>
      <c r="D51" s="43">
        <v>19966.20835</v>
      </c>
      <c r="E51" s="43">
        <v>0.0</v>
      </c>
      <c r="F51" s="43">
        <f>D51+E51</f>
        <v>19966.20835</v>
      </c>
      <c r="G51" s="43">
        <v>15483</v>
      </c>
      <c r="H51" s="43">
        <v>15583</v>
      </c>
      <c r="I51" s="43">
        <f>IF(H51="", "", J51-H51)</f>
        <v>0</v>
      </c>
      <c r="J51" s="43">
        <f>IF(ISBLANK(Projection!P48), "", Projection!P48)</f>
        <v>15583</v>
      </c>
      <c r="K51" s="43">
        <f>IF(ISBLANK('Committed Cost'!P48), "", 'Committed Cost'!P48)</f>
        <v>15572.166</v>
      </c>
      <c r="L51" s="37">
        <f>IFERROR(IF(ISBLANK(F51), "", K51/F51), 0)</f>
        <v>0.77992604940437</v>
      </c>
      <c r="M51" s="43">
        <f>IF(F51="", "", F51-K51)</f>
        <v>4394.04235</v>
      </c>
      <c r="N51" s="43">
        <f>IF(ISBLANK(Accrual!P48), "", Accrual!P48)</f>
        <v>12817.7492</v>
      </c>
      <c r="O51" s="43">
        <f>IF(ISBLANK('Cash Flow'!P48), "",'Cash Flow'!P48)</f>
        <v>12608.3092</v>
      </c>
      <c r="P51" s="37">
        <f>IFERROR(IF(O51="", "", O51/K51), 0)</f>
        <v>0.80966958610639</v>
      </c>
      <c r="Q51" s="44">
        <f>IF(K51="", "", K51-O51)</f>
        <v>2963.8568</v>
      </c>
    </row>
    <row r="52" spans="1:18" customHeight="1" ht="12.75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10</v>
      </c>
      <c r="H52" s="43">
        <v>10</v>
      </c>
      <c r="I52" s="43">
        <f>IF(H52="", "", J52-H52)</f>
        <v>0</v>
      </c>
      <c r="J52" s="43">
        <f>IF(ISBLANK(Projection!P49), "", Projection!P49)</f>
        <v>10</v>
      </c>
      <c r="K52" s="43">
        <f>IF(ISBLANK('Committed Cost'!P49), "", 'Committed Cost'!P49)</f>
        <v>5</v>
      </c>
      <c r="L52" s="37">
        <f>IFERROR(IF(ISBLANK(F52), "", K52/F52), 0)</f>
        <v>0</v>
      </c>
      <c r="M52" s="43">
        <f>IF(F52="", "", F52-K52)</f>
        <v>-5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5</v>
      </c>
    </row>
    <row r="53" spans="1:18" customHeight="1" ht="12.75">
      <c r="A53" s="18" t="s">
        <v>101</v>
      </c>
      <c r="B53" s="4" t="s">
        <v>102</v>
      </c>
      <c r="C53" s="43">
        <v>3277.393</v>
      </c>
      <c r="D53" s="43">
        <v>3277.393</v>
      </c>
      <c r="E53" s="43">
        <v>0.0</v>
      </c>
      <c r="F53" s="43">
        <f>D53+E53</f>
        <v>3277.393</v>
      </c>
      <c r="G53" s="43">
        <v>9525</v>
      </c>
      <c r="H53" s="43">
        <v>9860</v>
      </c>
      <c r="I53" s="43">
        <f>IF(H53="", "", J53-H53)</f>
        <v>40</v>
      </c>
      <c r="J53" s="43">
        <f>IF(ISBLANK(Projection!P50), "", Projection!P50)</f>
        <v>9900</v>
      </c>
      <c r="K53" s="43">
        <f>IF(ISBLANK('Committed Cost'!P50), "", 'Committed Cost'!P50)</f>
        <v>9876.18642</v>
      </c>
      <c r="L53" s="37">
        <f>IFERROR(IF(ISBLANK(F53), "", K53/F53), 0)</f>
        <v>3.0134275688024</v>
      </c>
      <c r="M53" s="43">
        <f>IF(F53="", "", F53-K53)</f>
        <v>-6598.79342</v>
      </c>
      <c r="N53" s="43">
        <f>IF(ISBLANK(Accrual!P50), "", Accrual!P50)</f>
        <v>9438.99834</v>
      </c>
      <c r="O53" s="43">
        <f>IF(ISBLANK('Cash Flow'!P50), "",'Cash Flow'!P50)</f>
        <v>7799.86084</v>
      </c>
      <c r="P53" s="37">
        <f>IFERROR(IF(O53="", "", O53/K53), 0)</f>
        <v>0.78976444027066</v>
      </c>
      <c r="Q53" s="44">
        <f>IF(K53="", "", K53-O53)</f>
        <v>2076.32558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-10</v>
      </c>
      <c r="H55" s="43">
        <v>-10</v>
      </c>
      <c r="I55" s="43">
        <f>IF(H55="", "", J55-H55)</f>
        <v>0</v>
      </c>
      <c r="J55" s="43">
        <f>IF(ISBLANK(Projection!P52), "", Projection!P52)</f>
        <v>-10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0.0</v>
      </c>
      <c r="D57" s="43">
        <v>0.0</v>
      </c>
      <c r="E57" s="43">
        <v>0.0</v>
      </c>
      <c r="F57" s="43">
        <f>D57+E57</f>
        <v>0</v>
      </c>
      <c r="G57" s="43">
        <v>4800</v>
      </c>
      <c r="H57" s="43">
        <v>5150</v>
      </c>
      <c r="I57" s="43">
        <f>IF(H57="", "", J57-H57)</f>
        <v>250</v>
      </c>
      <c r="J57" s="43">
        <f>IF(ISBLANK(Projection!P54), "", Projection!P54)</f>
        <v>5400</v>
      </c>
      <c r="K57" s="43">
        <f>IF(ISBLANK('Committed Cost'!P54), "", 'Committed Cost'!P54)</f>
        <v>5353.65</v>
      </c>
      <c r="L57" s="37">
        <f>IFERROR(IF(ISBLANK(F57), "", K57/F57), 0)</f>
        <v>0</v>
      </c>
      <c r="M57" s="43">
        <f>IF(F57="", "", F57-K57)</f>
        <v>-5353.65</v>
      </c>
      <c r="N57" s="43">
        <f>IF(ISBLANK(Accrual!P54), "", Accrual!P54)</f>
        <v>5331.368</v>
      </c>
      <c r="O57" s="43">
        <f>IF(ISBLANK('Cash Flow'!P54), "",'Cash Flow'!P54)</f>
        <v>5110.118</v>
      </c>
      <c r="P57" s="37">
        <f>IFERROR(IF(O57="", "", O57/K57), 0)</f>
        <v>0.95451103452785</v>
      </c>
      <c r="Q57" s="44">
        <f>IF(K57="", "", K57-O57)</f>
        <v>243.532</v>
      </c>
    </row>
    <row r="58" spans="1:18" customHeight="1" ht="12.75">
      <c r="A58" s="18" t="s">
        <v>110</v>
      </c>
      <c r="B58" s="4" t="s">
        <v>111</v>
      </c>
      <c r="C58" s="43">
        <v>0.0</v>
      </c>
      <c r="D58" s="43">
        <v>0.0</v>
      </c>
      <c r="E58" s="43">
        <v>0.0</v>
      </c>
      <c r="F58" s="43">
        <f>D58+E58</f>
        <v>0</v>
      </c>
      <c r="G58" s="43">
        <v>2680</v>
      </c>
      <c r="H58" s="43">
        <v>2680</v>
      </c>
      <c r="I58" s="43">
        <f>IF(H58="", "", J58-H58)</f>
        <v>0</v>
      </c>
      <c r="J58" s="43">
        <f>IF(ISBLANK(Projection!P55), "", Projection!P55)</f>
        <v>2680</v>
      </c>
      <c r="K58" s="43">
        <f>IF(ISBLANK('Committed Cost'!P55), "", 'Committed Cost'!P55)</f>
        <v>2649.19739</v>
      </c>
      <c r="L58" s="37">
        <f>IFERROR(IF(ISBLANK(F58), "", K58/F58), 0)</f>
        <v>0</v>
      </c>
      <c r="M58" s="43">
        <f>IF(F58="", "", F58-K58)</f>
        <v>-2649.19739</v>
      </c>
      <c r="N58" s="43">
        <f>IF(ISBLANK(Accrual!P55), "", Accrual!P55)</f>
        <v>2617.3</v>
      </c>
      <c r="O58" s="43">
        <f>IF(ISBLANK('Cash Flow'!P55), "",'Cash Flow'!P55)</f>
        <v>2617.3</v>
      </c>
      <c r="P58" s="37">
        <f>IFERROR(IF(O58="", "", O58/K58), 0)</f>
        <v>0.98795960236092</v>
      </c>
      <c r="Q58" s="44">
        <f>IF(K58="", "", K58-O58)</f>
        <v>31.897390000001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0.0</v>
      </c>
      <c r="E60" s="43">
        <v>0.0</v>
      </c>
      <c r="F60" s="43">
        <f>D60+E60</f>
        <v>0</v>
      </c>
      <c r="G60" s="43">
        <v>9250</v>
      </c>
      <c r="H60" s="43">
        <v>9250</v>
      </c>
      <c r="I60" s="43">
        <f>IF(H60="", "", J60-H60)</f>
        <v>0</v>
      </c>
      <c r="J60" s="43">
        <f>IF(ISBLANK(Projection!P57), "", Projection!P57)</f>
        <v>9250</v>
      </c>
      <c r="K60" s="43">
        <f>IF(ISBLANK('Committed Cost'!P57), "", 'Committed Cost'!P57)</f>
        <v>9207.61085</v>
      </c>
      <c r="L60" s="37">
        <f>IFERROR(IF(ISBLANK(F60), "", K60/F60), 0)</f>
        <v>0</v>
      </c>
      <c r="M60" s="43">
        <f>IF(F60="", "", F60-K60)</f>
        <v>-9207.61085</v>
      </c>
      <c r="N60" s="43">
        <f>IF(ISBLANK(Accrual!P57), "", Accrual!P57)</f>
        <v>5835.13045</v>
      </c>
      <c r="O60" s="43">
        <f>IF(ISBLANK('Cash Flow'!P57), "",'Cash Flow'!P57)</f>
        <v>5482.12045</v>
      </c>
      <c r="P60" s="37">
        <f>IFERROR(IF(O60="", "", O60/K60), 0)</f>
        <v>0.59539011143157</v>
      </c>
      <c r="Q60" s="44">
        <f>IF(K60="", "", K60-O60)</f>
        <v>3725.4904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 hidden="true">
      <c r="A63" s="18" t="s">
        <v>120</v>
      </c>
      <c r="B63" s="4" t="s">
        <v>121</v>
      </c>
      <c r="C63" s="43">
        <v>0</v>
      </c>
      <c r="D63" s="43">
        <v>0</v>
      </c>
      <c r="E63" s="43">
        <v>0</v>
      </c>
      <c r="F63" s="43">
        <f>D63+E63</f>
        <v>0</v>
      </c>
      <c r="G63" s="43">
        <v>0</v>
      </c>
      <c r="H63" s="43">
        <v>0</v>
      </c>
      <c r="I63" s="43">
        <f>IF(H63="", "", J63-H63)</f>
        <v>0</v>
      </c>
      <c r="J63" s="43">
        <f>IF(ISBLANK(Projection!P60), "", Projection!P60)</f>
        <v>0</v>
      </c>
      <c r="K63" s="43">
        <f>IF(ISBLANK('Committed Cost'!P60), "", 'Committed Cost'!P60)</f>
        <v>0</v>
      </c>
      <c r="L63" s="37">
        <f>IFERROR(IF(ISBLANK(F63), "", K63/F63), 0)</f>
        <v>0</v>
      </c>
      <c r="M63" s="43">
        <f>IF(F63="", "", F63-K63)</f>
        <v>0</v>
      </c>
      <c r="N63" s="43">
        <f>IF(ISBLANK(Accrual!P60), "", Accrual!P60)</f>
        <v>0</v>
      </c>
      <c r="O63" s="43">
        <f>IF(ISBLANK('Cash Flow'!P60), "",'Cash Flow'!P60)</f>
        <v>0</v>
      </c>
      <c r="P63" s="37">
        <f>IFERROR(IF(O63="", "", O63/K63), 0)</f>
        <v>0</v>
      </c>
      <c r="Q63" s="44">
        <f>IF(K63="", "", K63-O63)</f>
        <v>0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0.0</v>
      </c>
      <c r="D69" s="43">
        <v>0.0</v>
      </c>
      <c r="E69" s="43">
        <v>0.0</v>
      </c>
      <c r="F69" s="43">
        <f>D69+E69</f>
        <v>0</v>
      </c>
      <c r="G69" s="43">
        <v>700</v>
      </c>
      <c r="H69" s="43">
        <v>750</v>
      </c>
      <c r="I69" s="43">
        <f>IF(H69="", "", J69-H69)</f>
        <v>0</v>
      </c>
      <c r="J69" s="43">
        <f>IF(ISBLANK(Projection!P66), "", Projection!P66)</f>
        <v>750</v>
      </c>
      <c r="K69" s="43">
        <f>IF(ISBLANK('Committed Cost'!P66), "", 'Committed Cost'!P66)</f>
        <v>729.2181</v>
      </c>
      <c r="L69" s="37">
        <f>IFERROR(IF(ISBLANK(F69), "", K69/F69), 0)</f>
        <v>0</v>
      </c>
      <c r="M69" s="43">
        <f>IF(F69="", "", F69-K69)</f>
        <v>-729.2181</v>
      </c>
      <c r="N69" s="43">
        <f>IF(ISBLANK(Accrual!P66), "", Accrual!P66)</f>
        <v>726.5311</v>
      </c>
      <c r="O69" s="43">
        <f>IF(ISBLANK('Cash Flow'!P66), "",'Cash Flow'!P66)</f>
        <v>306.263</v>
      </c>
      <c r="P69" s="37">
        <f>IFERROR(IF(O69="", "", O69/K69), 0)</f>
        <v>0.4199882038035</v>
      </c>
      <c r="Q69" s="44">
        <f>IF(K69="", "", K69-O69)</f>
        <v>422.9551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6464.2304</v>
      </c>
      <c r="O70" s="43">
        <f>IF(ISBLANK('Cash Flow'!P67), "",'Cash Flow'!P67)</f>
        <v>7206.2615</v>
      </c>
      <c r="P70" s="37">
        <f>IFERROR(IF(O70="", "", O70/K70), 0)</f>
        <v>0</v>
      </c>
      <c r="Q70" s="44">
        <f>IF(K70="", "", K70-O70)</f>
        <v>-7206.2615</v>
      </c>
    </row>
    <row r="71" spans="1:18" customHeight="1" ht="12.75" hidden="true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0</v>
      </c>
      <c r="I71" s="43">
        <f>IF(H71="", "", J71-H71)</f>
        <v>0</v>
      </c>
      <c r="J71" s="43">
        <f>IF(ISBLANK(Projection!P68), "", Projection!P68)</f>
        <v>0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4734.598</v>
      </c>
      <c r="D76" s="43">
        <v>5204.437</v>
      </c>
      <c r="E76" s="43">
        <v>0.0</v>
      </c>
      <c r="F76" s="43">
        <f>D76+E76</f>
        <v>5204.437</v>
      </c>
      <c r="G76" s="43">
        <v>1728</v>
      </c>
      <c r="H76" s="43">
        <v>1728</v>
      </c>
      <c r="I76" s="43">
        <f>IF(H76="", "", J76-H76)</f>
        <v>0</v>
      </c>
      <c r="J76" s="43">
        <f>IF(ISBLANK(Projection!P73), "", Projection!P73)</f>
        <v>1728</v>
      </c>
      <c r="K76" s="43">
        <f>IF(ISBLANK('Committed Cost'!P73), "", 'Committed Cost'!P73)</f>
        <v>1109.93</v>
      </c>
      <c r="L76" s="37">
        <f>IFERROR(IF(ISBLANK(F76), "", K76/F76), 0)</f>
        <v>0.21326610351898</v>
      </c>
      <c r="M76" s="43">
        <f>IF(F76="", "", F76-K76)</f>
        <v>4094.507</v>
      </c>
      <c r="N76" s="43">
        <f>IF(ISBLANK(Accrual!P73), "", Accrual!P73)</f>
        <v>1109.93</v>
      </c>
      <c r="O76" s="43">
        <f>IF(ISBLANK('Cash Flow'!P73), "",'Cash Flow'!P73)</f>
        <v>1109.93</v>
      </c>
      <c r="P76" s="37">
        <f>IFERROR(IF(O76="", "", O76/K76), 0)</f>
        <v>1</v>
      </c>
      <c r="Q76" s="44">
        <f>IF(K76="", "", K76-O76)</f>
        <v>0</v>
      </c>
    </row>
    <row r="77" spans="1:18" customHeight="1" ht="12.75">
      <c r="A77" s="18" t="s">
        <v>147</v>
      </c>
      <c r="B77" s="4" t="s">
        <v>148</v>
      </c>
      <c r="C77" s="43">
        <v>0.0</v>
      </c>
      <c r="D77" s="43">
        <v>0.0</v>
      </c>
      <c r="E77" s="43">
        <v>0.0</v>
      </c>
      <c r="F77" s="43">
        <f>D77+E77</f>
        <v>0</v>
      </c>
      <c r="G77" s="43">
        <v>13740</v>
      </c>
      <c r="H77" s="43">
        <v>14540</v>
      </c>
      <c r="I77" s="43">
        <f>IF(H77="", "", J77-H77)</f>
        <v>0</v>
      </c>
      <c r="J77" s="43">
        <f>IF(ISBLANK(Projection!P74), "", Projection!P74)</f>
        <v>14540</v>
      </c>
      <c r="K77" s="43">
        <f>IF(ISBLANK('Committed Cost'!P74), "", 'Committed Cost'!P74)</f>
        <v>14526.28209</v>
      </c>
      <c r="L77" s="37">
        <f>IFERROR(IF(ISBLANK(F77), "", K77/F77), 0)</f>
        <v>0</v>
      </c>
      <c r="M77" s="43">
        <f>IF(F77="", "", F77-K77)</f>
        <v>-14526.28209</v>
      </c>
      <c r="N77" s="43">
        <f>IF(ISBLANK(Accrual!P74), "", Accrual!P74)</f>
        <v>13894.94197</v>
      </c>
      <c r="O77" s="43">
        <f>IF(ISBLANK('Cash Flow'!P74), "",'Cash Flow'!P74)</f>
        <v>13566.78472</v>
      </c>
      <c r="P77" s="37">
        <f>IFERROR(IF(O77="", "", O77/K77), 0)</f>
        <v>0.9339474915842</v>
      </c>
      <c r="Q77" s="44">
        <f>IF(K77="", "", K77-O77)</f>
        <v>959.49737</v>
      </c>
    </row>
    <row r="78" spans="1:18" customHeight="1" ht="12.75">
      <c r="A78" s="18" t="s">
        <v>149</v>
      </c>
      <c r="B78" s="4" t="s">
        <v>150</v>
      </c>
      <c r="C78" s="43">
        <v>0.0</v>
      </c>
      <c r="D78" s="43">
        <v>0.0</v>
      </c>
      <c r="E78" s="43">
        <v>0.0</v>
      </c>
      <c r="F78" s="43">
        <f>D78+E78</f>
        <v>0</v>
      </c>
      <c r="G78" s="43">
        <v>1475</v>
      </c>
      <c r="H78" s="43">
        <v>1775</v>
      </c>
      <c r="I78" s="43">
        <f>IF(H78="", "", J78-H78)</f>
        <v>50</v>
      </c>
      <c r="J78" s="43">
        <f>IF(ISBLANK(Projection!P75), "", Projection!P75)</f>
        <v>1825</v>
      </c>
      <c r="K78" s="43">
        <f>IF(ISBLANK('Committed Cost'!P75), "", 'Committed Cost'!P75)</f>
        <v>1814.16521</v>
      </c>
      <c r="L78" s="37">
        <f>IFERROR(IF(ISBLANK(F78), "", K78/F78), 0)</f>
        <v>0</v>
      </c>
      <c r="M78" s="43">
        <f>IF(F78="", "", F78-K78)</f>
        <v>-1814.16521</v>
      </c>
      <c r="N78" s="43">
        <f>IF(ISBLANK(Accrual!P75), "", Accrual!P75)</f>
        <v>1773.68521</v>
      </c>
      <c r="O78" s="43">
        <f>IF(ISBLANK('Cash Flow'!P75), "",'Cash Flow'!P75)</f>
        <v>1698.072</v>
      </c>
      <c r="P78" s="37">
        <f>IFERROR(IF(O78="", "", O78/K78), 0)</f>
        <v>0.93600736616485</v>
      </c>
      <c r="Q78" s="44">
        <f>IF(K78="", "", K78-O78)</f>
        <v>116.09321</v>
      </c>
    </row>
    <row r="79" spans="1:18" customHeight="1" ht="12.75" hidden="true">
      <c r="A79" s="18" t="s">
        <v>151</v>
      </c>
      <c r="B79" s="4" t="s">
        <v>152</v>
      </c>
      <c r="C79" s="43">
        <v>0</v>
      </c>
      <c r="D79" s="43">
        <v>0</v>
      </c>
      <c r="E79" s="43">
        <v>0</v>
      </c>
      <c r="F79" s="43">
        <f>D79+E79</f>
        <v>0</v>
      </c>
      <c r="G79" s="43">
        <v>0</v>
      </c>
      <c r="H79" s="43">
        <v>0</v>
      </c>
      <c r="I79" s="43">
        <f>IF(H79="", "", J79-H79)</f>
        <v>0</v>
      </c>
      <c r="J79" s="43">
        <f>IF(ISBLANK(Projection!P76), "", Projection!P76)</f>
        <v>0</v>
      </c>
      <c r="K79" s="43">
        <f>IF(ISBLANK('Committed Cost'!P76), "", 'Committed Cost'!P76)</f>
        <v>0</v>
      </c>
      <c r="L79" s="37">
        <f>IFERROR(IF(ISBLANK(F79), "", K79/F79), 0)</f>
        <v>0</v>
      </c>
      <c r="M79" s="43">
        <f>IF(F79="", "", F79-K79)</f>
        <v>0</v>
      </c>
      <c r="N79" s="43">
        <f>IF(ISBLANK(Accrual!P76), "", Accrual!P76)</f>
        <v>0</v>
      </c>
      <c r="O79" s="43">
        <f>IF(ISBLANK('Cash Flow'!P76), "",'Cash Flow'!P76)</f>
        <v>0</v>
      </c>
      <c r="P79" s="37">
        <f>IFERROR(IF(O79="", "", O79/K79), 0)</f>
        <v>0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</v>
      </c>
      <c r="D80" s="43">
        <v>0</v>
      </c>
      <c r="E80" s="43">
        <v>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>
      <c r="A82" s="18" t="s">
        <v>157</v>
      </c>
      <c r="B82" s="4" t="s">
        <v>158</v>
      </c>
      <c r="C82" s="43">
        <v>1315.541</v>
      </c>
      <c r="D82" s="43">
        <v>1315.541</v>
      </c>
      <c r="E82" s="43">
        <v>0.0</v>
      </c>
      <c r="F82" s="43">
        <f>D82+E82</f>
        <v>1315.541</v>
      </c>
      <c r="G82" s="43">
        <v>65</v>
      </c>
      <c r="H82" s="43">
        <v>70</v>
      </c>
      <c r="I82" s="43">
        <f>IF(H82="", "", J82-H82)</f>
        <v>0</v>
      </c>
      <c r="J82" s="43">
        <f>IF(ISBLANK(Projection!P79), "", Projection!P79)</f>
        <v>70</v>
      </c>
      <c r="K82" s="43">
        <f>IF(ISBLANK('Committed Cost'!P79), "", 'Committed Cost'!P79)</f>
        <v>69.67657</v>
      </c>
      <c r="L82" s="37">
        <f>IFERROR(IF(ISBLANK(F82), "", K82/F82), 0)</f>
        <v>0.052964194958576</v>
      </c>
      <c r="M82" s="43">
        <f>IF(F82="", "", F82-K82)</f>
        <v>1245.86443</v>
      </c>
      <c r="N82" s="43">
        <f>IF(ISBLANK(Accrual!P79), "", Accrual!P79)</f>
        <v>69.67657</v>
      </c>
      <c r="O82" s="43">
        <f>IF(ISBLANK('Cash Flow'!P79), "",'Cash Flow'!P79)</f>
        <v>69.67657</v>
      </c>
      <c r="P82" s="37">
        <f>IFERROR(IF(O82="", "", O82/K82), 0)</f>
        <v>1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348350.92939</v>
      </c>
      <c r="D86" s="43">
        <v>349891.09414</v>
      </c>
      <c r="E86" s="43">
        <v>0.0</v>
      </c>
      <c r="F86" s="43">
        <f>D86+E86</f>
        <v>349891.09414</v>
      </c>
      <c r="G86" s="43">
        <v>378637</v>
      </c>
      <c r="H86" s="43">
        <v>373337</v>
      </c>
      <c r="I86" s="43">
        <f>IF(H86="", "", J86-H86)</f>
        <v>-7920</v>
      </c>
      <c r="J86" s="43">
        <f>IF(ISBLANK(Projection!P83), "", Projection!P83)</f>
        <v>365417</v>
      </c>
      <c r="K86" s="43">
        <f>IF(ISBLANK('Committed Cost'!P83), "", 'Committed Cost'!P83)</f>
        <v>200123.22058</v>
      </c>
      <c r="L86" s="37">
        <f>IFERROR(IF(ISBLANK(F86), "", K86/F86), 0)</f>
        <v>0.57195860063796</v>
      </c>
      <c r="M86" s="43">
        <f>IF(F86="", "", F86-K86)</f>
        <v>149767.87356</v>
      </c>
      <c r="N86" s="43">
        <f>IF(ISBLANK(Accrual!P83), "", Accrual!P83)</f>
        <v>122135.66457</v>
      </c>
      <c r="O86" s="43">
        <f>IF(ISBLANK('Cash Flow'!P83), "",'Cash Flow'!P83)</f>
        <v>110275.54673</v>
      </c>
      <c r="P86" s="37">
        <f>IFERROR(IF(O86="", "", O86/K86), 0)</f>
        <v>0.55103823739393</v>
      </c>
      <c r="Q86" s="44">
        <f>IF(K86="", "", K86-O86)</f>
        <v>89847.67385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55967</v>
      </c>
      <c r="H87" s="43">
        <v>55967</v>
      </c>
      <c r="I87" s="43">
        <f>IF(H87="", "", J87-H87)</f>
        <v>0</v>
      </c>
      <c r="J87" s="43">
        <f>IF(ISBLANK(Projection!P84), "", Projection!P84)</f>
        <v>55967</v>
      </c>
      <c r="K87" s="43">
        <f>IF(ISBLANK('Committed Cost'!P84), "", 'Committed Cost'!P84)</f>
        <v>50449.79122</v>
      </c>
      <c r="L87" s="37">
        <f>IFERROR(IF(ISBLANK(F87), "", K87/F87), 0)</f>
        <v>0</v>
      </c>
      <c r="M87" s="43">
        <f>IF(F87="", "", F87-K87)</f>
        <v>-50449.79122</v>
      </c>
      <c r="N87" s="43">
        <f>IF(ISBLANK(Accrual!P84), "", Accrual!P84)</f>
        <v>33212.05875</v>
      </c>
      <c r="O87" s="43">
        <f>IF(ISBLANK('Cash Flow'!P84), "",'Cash Flow'!P84)</f>
        <v>31696.79296</v>
      </c>
      <c r="P87" s="37">
        <f>IFERROR(IF(O87="", "", O87/K87), 0)</f>
        <v>0.62828392731652</v>
      </c>
      <c r="Q87" s="44">
        <f>IF(K87="", "", K87-O87)</f>
        <v>18752.99826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-11855.90407</v>
      </c>
      <c r="O89" s="43">
        <f>IF(ISBLANK('Cash Flow'!P86), "",'Cash Flow'!P86)</f>
        <v>-10305.02005</v>
      </c>
      <c r="P89" s="37">
        <f>IFERROR(IF(O89="", "", O89/K89), 0)</f>
        <v>0</v>
      </c>
      <c r="Q89" s="44">
        <f>IF(K89="", "", K89-O89)</f>
        <v>10305.02005</v>
      </c>
    </row>
    <row r="90" spans="1:18" customHeight="1" ht="12.75" hidden="true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0</v>
      </c>
      <c r="P90" s="37">
        <f>IFERROR(IF(O90="", "", O90/K90), 0)</f>
        <v>0</v>
      </c>
      <c r="Q90" s="44">
        <f>IF(K90="", "", K90-O90)</f>
        <v>0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-11955.83739</v>
      </c>
      <c r="P91" s="37">
        <f>IFERROR(IF(O91="", "", O91/K91), 0)</f>
        <v>0</v>
      </c>
      <c r="Q91" s="44">
        <f>IF(K91="", "", K91-O91)</f>
        <v>11955.83739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-44926</v>
      </c>
      <c r="H92" s="43">
        <v>-44926</v>
      </c>
      <c r="I92" s="43">
        <f>IF(H92="", "", J92-H92)</f>
        <v>0</v>
      </c>
      <c r="J92" s="43">
        <f>IF(ISBLANK(Projection!P89), "", Projection!P89)</f>
        <v>-44926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 hidden="true">
      <c r="A93" s="18" t="s">
        <v>178</v>
      </c>
      <c r="B93" s="4" t="s">
        <v>179</v>
      </c>
      <c r="C93" s="43">
        <v>0.0</v>
      </c>
      <c r="D93" s="43">
        <v>0.0</v>
      </c>
      <c r="E93" s="43">
        <v>0.0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0</v>
      </c>
      <c r="O93" s="43">
        <f>IF(ISBLANK('Cash Flow'!P90), "",'Cash Flow'!P90)</f>
        <v>0</v>
      </c>
      <c r="P93" s="37">
        <f>IFERROR(IF(O93="", "", O93/K93), 0)</f>
        <v>0</v>
      </c>
      <c r="Q93" s="44">
        <f>IF(K93="", "", K93-O93)</f>
        <v>0</v>
      </c>
    </row>
    <row r="94" spans="1:18" customHeight="1" ht="12.75">
      <c r="A94" s="18" t="s">
        <v>180</v>
      </c>
      <c r="B94" s="4" t="s">
        <v>181</v>
      </c>
      <c r="C94" s="43">
        <v>0.0</v>
      </c>
      <c r="D94" s="43">
        <v>0.0</v>
      </c>
      <c r="E94" s="43">
        <v>0.0</v>
      </c>
      <c r="F94" s="43">
        <f>D94+E94</f>
        <v>0</v>
      </c>
      <c r="G94" s="43">
        <v>57429.3</v>
      </c>
      <c r="H94" s="43">
        <v>57429</v>
      </c>
      <c r="I94" s="43">
        <f>IF(H94="", "", J94-H94)</f>
        <v>0.30000000000291</v>
      </c>
      <c r="J94" s="43">
        <f>IF(ISBLANK(Projection!P91), "", Projection!P91)</f>
        <v>57429.3</v>
      </c>
      <c r="K94" s="43">
        <f>IF(ISBLANK('Committed Cost'!P91), "", 'Committed Cost'!P91)</f>
        <v>57428.8</v>
      </c>
      <c r="L94" s="37">
        <f>IFERROR(IF(ISBLANK(F94), "", K94/F94), 0)</f>
        <v>0</v>
      </c>
      <c r="M94" s="43">
        <f>IF(F94="", "", F94-K94)</f>
        <v>-57428.8</v>
      </c>
      <c r="N94" s="43">
        <f>IF(ISBLANK(Accrual!P91), "", Accrual!P91)</f>
        <v>17175.2975</v>
      </c>
      <c r="O94" s="43">
        <f>IF(ISBLANK('Cash Flow'!P91), "",'Cash Flow'!P91)</f>
        <v>11963.01968</v>
      </c>
      <c r="P94" s="37">
        <f>IFERROR(IF(O94="", "", O94/K94), 0)</f>
        <v>0.20831045886385</v>
      </c>
      <c r="Q94" s="44">
        <f>IF(K94="", "", K94-O94)</f>
        <v>45465.78032</v>
      </c>
    </row>
    <row r="95" spans="1:18" customHeight="1" ht="12.75" hidden="true">
      <c r="A95" s="18">
        <v>2.5</v>
      </c>
      <c r="B95" s="4" t="s">
        <v>182</v>
      </c>
      <c r="C95" s="43">
        <v>0.0</v>
      </c>
      <c r="D95" s="43">
        <v>0.0</v>
      </c>
      <c r="E95" s="43">
        <v>0.0</v>
      </c>
      <c r="F95" s="43">
        <f>D95+E95</f>
        <v>0</v>
      </c>
      <c r="G95" s="43">
        <v>0</v>
      </c>
      <c r="H95" s="43">
        <v>0</v>
      </c>
      <c r="I95" s="43">
        <f>IF(H95="", "", J95-H95)</f>
        <v>0</v>
      </c>
      <c r="J95" s="43">
        <f>IF(ISBLANK(Projection!P92), "", Projection!P92)</f>
        <v>0</v>
      </c>
      <c r="K95" s="43">
        <f>IF(ISBLANK('Committed Cost'!P92), "", 'Committed Cost'!P92)</f>
        <v>0</v>
      </c>
      <c r="L95" s="37">
        <f>IFERROR(IF(ISBLANK(F95), "", K95/F95), 0)</f>
        <v>0</v>
      </c>
      <c r="M95" s="43">
        <f>IF(F95="", "", F95-K95)</f>
        <v>0</v>
      </c>
      <c r="N95" s="43">
        <f>IF(ISBLANK(Accrual!P92), "", Accrual!P92)</f>
        <v>0</v>
      </c>
      <c r="O95" s="43">
        <f>IF(ISBLANK('Cash Flow'!P92), "",'Cash Flow'!P92)</f>
        <v>0</v>
      </c>
      <c r="P95" s="37">
        <f>IFERROR(IF(O95="", "", O95/K95), 0)</f>
        <v>0</v>
      </c>
      <c r="Q95" s="44">
        <f>IF(K95="", "", K95-O95)</f>
        <v>0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 hidden="true">
      <c r="A99" s="18">
        <v>2.7</v>
      </c>
      <c r="B99" s="4" t="s">
        <v>188</v>
      </c>
      <c r="C99" s="43">
        <v>0</v>
      </c>
      <c r="D99" s="43">
        <v>0</v>
      </c>
      <c r="E99" s="43">
        <v>0</v>
      </c>
      <c r="F99" s="43">
        <f>D99+E99</f>
        <v>0</v>
      </c>
      <c r="G99" s="43">
        <v>0</v>
      </c>
      <c r="H99" s="43">
        <v>0</v>
      </c>
      <c r="I99" s="43">
        <f>IF(H99="", "", J99-H99)</f>
        <v>0</v>
      </c>
      <c r="J99" s="43">
        <f>IF(ISBLANK(Projection!P96), "", Projection!P96)</f>
        <v>0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2251.41</v>
      </c>
      <c r="H101" s="43">
        <v>2251.41</v>
      </c>
      <c r="I101" s="43">
        <f>IF(H101="", "", J101-H101)</f>
        <v>0</v>
      </c>
      <c r="J101" s="43">
        <f>IF(ISBLANK(Projection!P98), "", Projection!P98)</f>
        <v>2251.41</v>
      </c>
      <c r="K101" s="43">
        <f>IF(ISBLANK('Committed Cost'!P98), "", 'Committed Cost'!P98)</f>
        <v>2251.40822</v>
      </c>
      <c r="L101" s="37">
        <f>IFERROR(IF(ISBLANK(F101), "", K101/F101), 0)</f>
        <v>0</v>
      </c>
      <c r="M101" s="43">
        <f>IF(F101="", "", F101-K101)</f>
        <v>-2251.40822</v>
      </c>
      <c r="N101" s="43">
        <f>IF(ISBLANK(Accrual!P98), "", Accrual!P98)</f>
        <v>2251.40822</v>
      </c>
      <c r="O101" s="43">
        <f>IF(ISBLANK('Cash Flow'!P98), "",'Cash Flow'!P98)</f>
        <v>2251.40822</v>
      </c>
      <c r="P101" s="37">
        <f>IFERROR(IF(O101="", "", O101/K101), 0)</f>
        <v>1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315880.10101</v>
      </c>
      <c r="D110" s="47">
        <f>SUM(D41:D109)</f>
        <v>475037.70216</v>
      </c>
      <c r="E110" s="47">
        <f>SUM(E41:E109)</f>
        <v>0</v>
      </c>
      <c r="F110" s="47">
        <f>SUM(F41:F109)</f>
        <v>475037.70216</v>
      </c>
      <c r="G110" s="47">
        <f>SUM(G41:G109)</f>
        <v>607499.3</v>
      </c>
      <c r="H110" s="47">
        <f>SUM(H41:H109)</f>
        <v>607499.41</v>
      </c>
      <c r="I110" s="47">
        <f>IF(H110="", "", J110-H110)</f>
        <v>-0.10999999998603</v>
      </c>
      <c r="J110" s="47">
        <f>IF(ISBLANK(Projection!P107), "", Projection!P107)</f>
        <v>607499.3</v>
      </c>
      <c r="K110" s="47">
        <f>IF(ISBLANK('Committed Cost'!P107), "", 'Committed Cost'!P107)</f>
        <v>471720.63569</v>
      </c>
      <c r="L110" s="39">
        <f>IFERROR(IF(ISBLANK(F110), "", K110/F110), 0)</f>
        <v>0.99301725640951</v>
      </c>
      <c r="M110" s="47">
        <f>IF(F110="", "", F110-K110)</f>
        <v>3317.06647</v>
      </c>
      <c r="N110" s="47">
        <f>IF(ISBLANK(Accrual!P107), "", Accrual!P107)</f>
        <v>320936.61851</v>
      </c>
      <c r="O110" s="47">
        <f>IF(ISBLANK('Cash Flow'!P107), "",'Cash Flow'!P107)</f>
        <v>287451.57759</v>
      </c>
      <c r="P110" s="39">
        <f>IFERROR(IF(O110="", "", O110/K110), 0)</f>
        <v>0.60936824858115</v>
      </c>
      <c r="Q110" s="48">
        <f>IF(K110="", "", K110-O110)</f>
        <v>184269.0581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157645.89899</v>
      </c>
      <c r="D112" s="49">
        <f>D39-D110</f>
        <v>27068.29784</v>
      </c>
      <c r="E112" s="49">
        <f>E39-E110</f>
        <v>0</v>
      </c>
      <c r="F112" s="49">
        <f>F39-F110</f>
        <v>27068.29784</v>
      </c>
      <c r="G112" s="49">
        <f>G39-G110</f>
        <v>29106.7</v>
      </c>
      <c r="H112" s="49">
        <f>H39-H110</f>
        <v>29106.59</v>
      </c>
      <c r="I112" s="49">
        <f>IF(H112="", "", J112-H112)</f>
        <v>0.10999999998603</v>
      </c>
      <c r="J112" s="49">
        <f>IF(ISBLANK(Projection!P109), "", Projection!P109)</f>
        <v>29106.7</v>
      </c>
      <c r="K112" s="49">
        <f>IF(ISBLANK('Committed Cost'!P109), "", 'Committed Cost'!P109)</f>
        <v>-57780.61569</v>
      </c>
      <c r="L112" s="40">
        <f>IFERROR(IF(ISBLANK(F112), "", K112/F112), 0)</f>
        <v>-2.1346231680891</v>
      </c>
      <c r="M112" s="49">
        <f>IF(F112="", "", F112-K112)</f>
        <v>84848.91353</v>
      </c>
      <c r="N112" s="49">
        <f>IF(ISBLANK(Accrual!P109), "", Accrual!P109)</f>
        <v>38940.95149</v>
      </c>
      <c r="O112" s="49">
        <f>IF(ISBLANK('Cash Flow'!P109), "",'Cash Flow'!P109)</f>
        <v>60465.73241</v>
      </c>
      <c r="P112" s="40">
        <f>IFERROR(IF(O112="", "", O112/K112), 0)</f>
        <v>-1.0464708914562</v>
      </c>
      <c r="Q112" s="50">
        <f>IF(K112="", "", K112-O112)</f>
        <v>-118246.3481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 hidden="true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0</v>
      </c>
      <c r="H117" s="43"/>
      <c r="I117" s="43" t="str">
        <f>IF(H117="", "", J117-H117)</f>
        <v/>
      </c>
      <c r="J117" s="43">
        <f>IF(ISBLANK(Projection!P114), "", Projection!P114)</f>
        <v>0</v>
      </c>
      <c r="K117" s="43">
        <f>IF(ISBLANK('Committed Cost'!P114), "", 'Committed Cost'!P114)</f>
        <v>0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0</v>
      </c>
      <c r="O117" s="43">
        <f>IF(ISBLANK('Cash Flow'!P114), "",'Cash Flow'!P114)</f>
        <v>0</v>
      </c>
      <c r="P117" s="37">
        <f>IFERROR(IF(O117="", "", O117/K117), 0)</f>
        <v>0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-65</v>
      </c>
      <c r="H119" s="43"/>
      <c r="I119" s="43" t="str">
        <f>IF(H119="", "", J119-H119)</f>
        <v/>
      </c>
      <c r="J119" s="43">
        <f>IF(ISBLANK(Projection!P116), "", Projection!P116)</f>
        <v>-70</v>
      </c>
      <c r="K119" s="43">
        <f>IF(ISBLANK('Committed Cost'!P116), "", 'Committed Cost'!P116)</f>
        <v>-69.67657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-69.67657</v>
      </c>
      <c r="O119" s="43">
        <f>IF(ISBLANK('Cash Flow'!P116), "",'Cash Flow'!P116)</f>
        <v>-69.67657</v>
      </c>
      <c r="P119" s="37">
        <f>IFERROR(IF(O119="", "", O119/K119), 0)</f>
        <v>1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0</v>
      </c>
      <c r="H121" s="45"/>
      <c r="I121" s="45" t="str">
        <f>IF(H121="", "", J121-H121)</f>
        <v/>
      </c>
      <c r="J121" s="45">
        <f>IF(ISBLANK(Projection!P118), "", Projection!P118)</f>
        <v>-4565.87593685</v>
      </c>
      <c r="K121" s="45">
        <f>IF(ISBLANK('Committed Cost'!P118), "", 'Committed Cost'!P118)</f>
        <v>-4565.87593685</v>
      </c>
      <c r="L121" s="38">
        <f>IFERROR(IF(ISBLANK(F121), "", K121/F121), 0)</f>
        <v>0</v>
      </c>
      <c r="M121" s="45">
        <f>IF(F121="", "", F121-K121)</f>
        <v>4565.87593685</v>
      </c>
      <c r="N121" s="43">
        <f>IF(ISBLANK(Accrual!P118), "", Accrual!P118)</f>
        <v>-4565.87593685</v>
      </c>
      <c r="O121" s="43">
        <f>IF(ISBLANK('Cash Flow'!P118), "",'Cash Flow'!P118)</f>
        <v>-4565.8759368495</v>
      </c>
      <c r="P121" s="38">
        <f>IFERROR(IF(O121="", "", O121/K121), 0)</f>
        <v>0.99999999999989</v>
      </c>
      <c r="Q121" s="46">
        <f>IF(K121="", "", K121-O121)</f>
        <v>-4.9021764425561E-10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-65</v>
      </c>
      <c r="H122" s="47"/>
      <c r="I122" s="47" t="str">
        <f>IF(H122="", "", J122-H122)</f>
        <v/>
      </c>
      <c r="J122" s="47">
        <f>IF(ISBLANK(Projection!P119), "", Projection!P119)</f>
        <v>-4635.87593685</v>
      </c>
      <c r="K122" s="47">
        <f>IF(ISBLANK('Committed Cost'!P119), "", 'Committed Cost'!P119)</f>
        <v>-4635.55250685</v>
      </c>
      <c r="L122" s="39">
        <f>IFERROR(IF(ISBLANK(F122), "", K122/F122), 0)</f>
        <v>0</v>
      </c>
      <c r="M122" s="47">
        <f>IF(F122="", "", F122-K122)</f>
        <v>4635.55250685</v>
      </c>
      <c r="N122" s="47">
        <f>IF(ISBLANK(Accrual!P119), "", Accrual!P119)</f>
        <v>-4635.55250685</v>
      </c>
      <c r="O122" s="47">
        <f>IF(ISBLANK('Cash Flow'!P119), "",'Cash Flow'!P119)</f>
        <v>-4635.5525068495</v>
      </c>
      <c r="P122" s="39">
        <f>IFERROR(IF(O122="", "", O122/K122), 0)</f>
        <v>0.99999999999989</v>
      </c>
      <c r="Q122" s="48">
        <f>IF(K122="", "", K122-O122)</f>
        <v>-4.9021764425561E-10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157645.89899</v>
      </c>
      <c r="D124" s="49">
        <f>D112-D122</f>
        <v>27068.29784</v>
      </c>
      <c r="E124" s="49">
        <f>E112-E122</f>
        <v>0</v>
      </c>
      <c r="F124" s="49">
        <f>F112-F122</f>
        <v>27068.29784</v>
      </c>
      <c r="G124" s="49">
        <f>G112-G122</f>
        <v>29171.7</v>
      </c>
      <c r="H124" s="49"/>
      <c r="I124" s="49" t="str">
        <f>IF(H124="", "", J124-H124)</f>
        <v/>
      </c>
      <c r="J124" s="49">
        <f>IF(ISBLANK(Projection!P121), "", Projection!P121)</f>
        <v>33742.57593685</v>
      </c>
      <c r="K124" s="49">
        <f>IF(ISBLANK('Committed Cost'!P121), "", 'Committed Cost'!P121)</f>
        <v>-53145.06318315</v>
      </c>
      <c r="L124" s="40">
        <f>IFERROR(IF(ISBLANK(F124), "", K124/F124), 0)</f>
        <v>-1.9633692335325</v>
      </c>
      <c r="M124" s="49">
        <f>IF(F124="", "", F124-K124)</f>
        <v>80213.36102315</v>
      </c>
      <c r="N124" s="49">
        <f>IF(ISBLANK(Accrual!P121), "", Accrual!P121)</f>
        <v>43576.50399685</v>
      </c>
      <c r="O124" s="49">
        <f>IF(ISBLANK('Cash Flow'!P121), "",'Cash Flow'!P121)</f>
        <v>65101.28491685</v>
      </c>
      <c r="P124" s="40">
        <f>IFERROR(IF(O124="", "", O124/K124), 0)</f>
        <v>-1.2249733280492</v>
      </c>
      <c r="Q124" s="50">
        <f>IF(K124="", "", K124-O124)</f>
        <v>-118246.3481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27811.44</v>
      </c>
      <c r="D128" s="43">
        <f>(D39-D21-D23-D36)*D127</f>
        <v>29792.22</v>
      </c>
      <c r="E128" s="43">
        <f>(E39-E21-E23-E36)*E127</f>
        <v>0</v>
      </c>
      <c r="F128" s="43">
        <f>(F39-F21-F23-F36)*F127</f>
        <v>29792.22</v>
      </c>
      <c r="G128" s="43">
        <f>(G39-G21-G23-G36)*G127</f>
        <v>37862.22</v>
      </c>
      <c r="H128" s="43"/>
      <c r="I128" s="43" t="str">
        <f>IF(H128="", "", J128-H128)</f>
        <v/>
      </c>
      <c r="J128" s="43">
        <f>IF(ISBLANK(Projection!P125), "", Projection!P125)</f>
        <v>18925.11</v>
      </c>
      <c r="K128" s="43">
        <f>IF(ISBLANK('Committed Cost'!P125), "", 'Committed Cost'!P125)</f>
        <v>12405.414</v>
      </c>
      <c r="L128" s="37">
        <f>IFERROR(IF(ISBLANK(F128), "", K128/F128), 0)</f>
        <v>0.41639777096168</v>
      </c>
      <c r="M128" s="43">
        <f>IF(F128="", "", F128-K128)</f>
        <v>17386.806</v>
      </c>
      <c r="N128" s="43">
        <f>IF(ISBLANK(Accrual!P125), "", Accrual!P125)</f>
        <v>12306.5631</v>
      </c>
      <c r="O128" s="43">
        <f>IF(ISBLANK('Cash Flow'!P125), "",'Cash Flow'!P125)</f>
        <v>12037.3044</v>
      </c>
      <c r="P128" s="37">
        <f>IFERROR(IF(O128="", "", O128/K128), 0)</f>
        <v>0.97032669768216</v>
      </c>
      <c r="Q128" s="44">
        <f>IF(K128="", "", K128-O128)</f>
        <v>368.1096</v>
      </c>
    </row>
    <row r="129" spans="1:18" customHeight="1" ht="12.75" hidden="true">
      <c r="A129" s="18" t="s">
        <v>216</v>
      </c>
      <c r="B129" s="4" t="s">
        <v>217</v>
      </c>
      <c r="C129" s="43">
        <f>(C39-C21-C23-C36)*0.000000</f>
        <v>0</v>
      </c>
      <c r="D129" s="43">
        <f>(D39-D21-D23-D36)*0.000000</f>
        <v>0</v>
      </c>
      <c r="E129" s="43">
        <f>(E39-E21-E23-E36)*0.000000</f>
        <v>0</v>
      </c>
      <c r="F129" s="43">
        <f>(F39-F21-F23-F36)*0.000000</f>
        <v>0</v>
      </c>
      <c r="G129" s="43">
        <f>(G39-G21-G23-G36)*0.000000</f>
        <v>0</v>
      </c>
      <c r="H129" s="43"/>
      <c r="I129" s="43" t="str">
        <f>IF(H129="", "", J129-H129)</f>
        <v/>
      </c>
      <c r="J129" s="43">
        <f>IF(ISBLANK(Projection!P126), "", Projection!P126)</f>
        <v>0</v>
      </c>
      <c r="K129" s="43">
        <f>IF(ISBLANK('Committed Cost'!P126), "", 'Committed Cost'!P126)</f>
        <v>0</v>
      </c>
      <c r="L129" s="37">
        <f>IFERROR(IF(ISBLANK(F129), "", K129/F129), 0)</f>
        <v>0</v>
      </c>
      <c r="M129" s="43">
        <f>IF(F129="", "", F129-K129)</f>
        <v>0</v>
      </c>
      <c r="N129" s="43">
        <f>IF(ISBLANK(Accrual!P126), "", Accrual!P126)</f>
        <v>0</v>
      </c>
      <c r="O129" s="43">
        <f>IF(ISBLANK('Cash Flow'!P126), "",'Cash Flow'!P126)</f>
        <v>0</v>
      </c>
      <c r="P129" s="37">
        <f>IFERROR(IF(O129="", "", O129/K129), 0)</f>
        <v>0</v>
      </c>
      <c r="Q129" s="44">
        <f>IF(K129="", "", K129-O129)</f>
        <v>0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129834.45899</v>
      </c>
      <c r="D132" s="51">
        <f>D124-SUM(D128:D129)+IF(ISBLANK(D130), 0, D130)</f>
        <v>-2723.92216</v>
      </c>
      <c r="E132" s="51">
        <f>E124-SUM(E128:E129)+IF(ISBLANK(E130), 0, E130)</f>
        <v>0</v>
      </c>
      <c r="F132" s="51">
        <f>F124-SUM(F128:F129)+IF(ISBLANK(F130), 0, F130)</f>
        <v>-2723.92216</v>
      </c>
      <c r="G132" s="51">
        <f>G124-SUM(G128:G129)+IF(ISBLANK(G130), 0, G130)</f>
        <v>-8690.52</v>
      </c>
      <c r="H132" s="51"/>
      <c r="I132" s="51" t="str">
        <f>IF(H132="", "", J132-H132)</f>
        <v/>
      </c>
      <c r="J132" s="51">
        <f>IF(ISBLANK(Projection!P129), "", Projection!P129)</f>
        <v>14817.46593685</v>
      </c>
      <c r="K132" s="51">
        <f>IF(ISBLANK('Committed Cost'!P129), "", 'Committed Cost'!P129)</f>
        <v>-65550.47718315</v>
      </c>
      <c r="L132" s="41">
        <f>IFERROR(IF(ISBLANK(F132), "", K132/F132), 0)</f>
        <v>24.0647394943</v>
      </c>
      <c r="M132" s="51">
        <f>IF(F132="", "", F132-K132)</f>
        <v>62826.55502315</v>
      </c>
      <c r="N132" s="51">
        <f>IF(ISBLANK(Accrual!P129), "", Accrual!P129)</f>
        <v>31269.94089685</v>
      </c>
      <c r="O132" s="51">
        <f>IF(ISBLANK('Cash Flow'!P129), "",'Cash Flow'!P129)</f>
        <v>53063.98051685</v>
      </c>
      <c r="P132" s="41">
        <f>IFERROR(IF(O132="", "", O132/K132), 0)</f>
        <v>-0.80951326057608</v>
      </c>
      <c r="Q132" s="52">
        <f>IF(K132="", "", K132-O132)</f>
        <v>-118614.4577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1057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342900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342900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75020</v>
      </c>
      <c r="D16" s="43">
        <v>-3529</v>
      </c>
      <c r="E16" s="43">
        <v>3529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-168</v>
      </c>
      <c r="L16" s="43">
        <v>0</v>
      </c>
      <c r="M16" s="43"/>
      <c r="N16" s="43"/>
      <c r="O16" s="43"/>
      <c r="P16" s="44">
        <f>SUM(C16:O16)</f>
        <v>74852</v>
      </c>
    </row>
    <row r="17" spans="1:16" customHeight="1" ht="12.75">
      <c r="A17" s="18" t="s">
        <v>54</v>
      </c>
      <c r="B17" s="4" t="s">
        <v>55</v>
      </c>
      <c r="C17" s="43">
        <v>14254</v>
      </c>
      <c r="D17" s="43">
        <v>-671</v>
      </c>
      <c r="E17" s="43">
        <v>671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-32</v>
      </c>
      <c r="L17" s="43">
        <v>0</v>
      </c>
      <c r="M17" s="43"/>
      <c r="N17" s="43"/>
      <c r="O17" s="43"/>
      <c r="P17" s="44">
        <f>SUM(C17:O17)</f>
        <v>14222</v>
      </c>
    </row>
    <row r="18" spans="1:16" customHeight="1" ht="12.75">
      <c r="A18" s="18">
        <v>1.3</v>
      </c>
      <c r="B18" s="4" t="s">
        <v>56</v>
      </c>
      <c r="C18" s="43">
        <v>5569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5569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21191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21191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153962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153962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23910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23910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636806</v>
      </c>
      <c r="D36" s="47">
        <f>SUM(D13:D35)</f>
        <v>-4200</v>
      </c>
      <c r="E36" s="47">
        <f>SUM(E13:E35)</f>
        <v>4200</v>
      </c>
      <c r="F36" s="47">
        <f>SUM(F13:F35)</f>
        <v>0</v>
      </c>
      <c r="G36" s="47">
        <f>SUM(G13:G35)</f>
        <v>0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-200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636606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47471</v>
      </c>
      <c r="D40" s="43">
        <v>-2200</v>
      </c>
      <c r="E40" s="43">
        <v>2200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-200</v>
      </c>
      <c r="L40" s="43">
        <v>4000</v>
      </c>
      <c r="M40" s="43"/>
      <c r="N40" s="43"/>
      <c r="O40" s="43"/>
      <c r="P40" s="44">
        <f>SUM(C40:O40)</f>
        <v>51271</v>
      </c>
    </row>
    <row r="41" spans="1:16" customHeight="1" ht="12.75">
      <c r="A41" s="18" t="s">
        <v>83</v>
      </c>
      <c r="B41" s="4" t="s">
        <v>84</v>
      </c>
      <c r="C41" s="43">
        <v>39</v>
      </c>
      <c r="D41" s="43">
        <v>0</v>
      </c>
      <c r="E41" s="43">
        <v>10</v>
      </c>
      <c r="F41" s="43">
        <v>10</v>
      </c>
      <c r="G41" s="43">
        <v>10</v>
      </c>
      <c r="H41" s="43">
        <v>145</v>
      </c>
      <c r="I41" s="43">
        <v>120</v>
      </c>
      <c r="J41" s="43">
        <v>0</v>
      </c>
      <c r="K41" s="43">
        <v>20</v>
      </c>
      <c r="L41" s="43">
        <v>60</v>
      </c>
      <c r="M41" s="43"/>
      <c r="N41" s="43"/>
      <c r="O41" s="43"/>
      <c r="P41" s="44">
        <f>SUM(C41:O41)</f>
        <v>414</v>
      </c>
    </row>
    <row r="42" spans="1:16" customHeight="1" ht="12.75">
      <c r="A42" s="18" t="s">
        <v>85</v>
      </c>
      <c r="B42" s="4" t="s">
        <v>86</v>
      </c>
      <c r="C42" s="43">
        <v>7776</v>
      </c>
      <c r="D42" s="43">
        <v>0</v>
      </c>
      <c r="E42" s="43">
        <v>0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7776</v>
      </c>
    </row>
    <row r="43" spans="1:16" customHeight="1" ht="12.75">
      <c r="A43" s="18" t="s">
        <v>87</v>
      </c>
      <c r="B43" s="4" t="s">
        <v>88</v>
      </c>
      <c r="C43" s="43">
        <v>5517</v>
      </c>
      <c r="D43" s="43">
        <v>-1718</v>
      </c>
      <c r="E43" s="43">
        <v>2000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5799</v>
      </c>
    </row>
    <row r="44" spans="1:16" customHeight="1" ht="12.75">
      <c r="A44" s="18" t="s">
        <v>89</v>
      </c>
      <c r="B44" s="4" t="s">
        <v>90</v>
      </c>
      <c r="C44" s="43">
        <v>11879</v>
      </c>
      <c r="D44" s="43">
        <v>0</v>
      </c>
      <c r="E44" s="43">
        <v>0</v>
      </c>
      <c r="F44" s="43">
        <v>0</v>
      </c>
      <c r="G44" s="43">
        <v>0</v>
      </c>
      <c r="H44" s="43">
        <v>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11879</v>
      </c>
    </row>
    <row r="45" spans="1:16" customHeight="1" ht="12.75">
      <c r="A45" s="18" t="s">
        <v>91</v>
      </c>
      <c r="B45" s="4" t="s">
        <v>92</v>
      </c>
      <c r="C45" s="43">
        <v>23465.59</v>
      </c>
      <c r="D45" s="43">
        <v>1180</v>
      </c>
      <c r="E45" s="43">
        <v>1000</v>
      </c>
      <c r="F45" s="43">
        <v>335</v>
      </c>
      <c r="G45" s="43">
        <v>350</v>
      </c>
      <c r="H45" s="43">
        <v>1340</v>
      </c>
      <c r="I45" s="43">
        <v>500</v>
      </c>
      <c r="J45" s="43">
        <v>500</v>
      </c>
      <c r="K45" s="43">
        <v>1700</v>
      </c>
      <c r="L45" s="43">
        <v>1800</v>
      </c>
      <c r="M45" s="43"/>
      <c r="N45" s="43"/>
      <c r="O45" s="43"/>
      <c r="P45" s="44">
        <f>SUM(C45:O45)</f>
        <v>32170.59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275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50</v>
      </c>
      <c r="K47" s="43">
        <v>0</v>
      </c>
      <c r="L47" s="43">
        <v>0</v>
      </c>
      <c r="M47" s="43"/>
      <c r="N47" s="43"/>
      <c r="O47" s="43"/>
      <c r="P47" s="44">
        <f>SUM(C47:O47)</f>
        <v>325</v>
      </c>
    </row>
    <row r="48" spans="1:16" customHeight="1" ht="12.75">
      <c r="A48" s="18" t="s">
        <v>97</v>
      </c>
      <c r="B48" s="4" t="s">
        <v>98</v>
      </c>
      <c r="C48" s="43">
        <v>15483</v>
      </c>
      <c r="D48" s="43">
        <v>0</v>
      </c>
      <c r="E48" s="43">
        <v>0</v>
      </c>
      <c r="F48" s="43">
        <v>100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15583</v>
      </c>
    </row>
    <row r="49" spans="1:16" customHeight="1" ht="12.75">
      <c r="A49" s="18" t="s">
        <v>99</v>
      </c>
      <c r="B49" s="4" t="s">
        <v>100</v>
      </c>
      <c r="C49" s="43">
        <v>10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10</v>
      </c>
    </row>
    <row r="50" spans="1:16" customHeight="1" ht="12.75">
      <c r="A50" s="18" t="s">
        <v>101</v>
      </c>
      <c r="B50" s="4" t="s">
        <v>102</v>
      </c>
      <c r="C50" s="43">
        <v>9175</v>
      </c>
      <c r="D50" s="43">
        <v>150</v>
      </c>
      <c r="E50" s="43">
        <v>215</v>
      </c>
      <c r="F50" s="43">
        <v>160</v>
      </c>
      <c r="G50" s="43">
        <v>100</v>
      </c>
      <c r="H50" s="43">
        <v>0</v>
      </c>
      <c r="I50" s="43">
        <v>50</v>
      </c>
      <c r="J50" s="43">
        <v>10</v>
      </c>
      <c r="K50" s="43">
        <v>40</v>
      </c>
      <c r="L50" s="43">
        <v>0</v>
      </c>
      <c r="M50" s="43"/>
      <c r="N50" s="43"/>
      <c r="O50" s="43"/>
      <c r="P50" s="44">
        <f>SUM(C50:O50)</f>
        <v>9900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-10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-10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4450</v>
      </c>
      <c r="D54" s="43">
        <v>150</v>
      </c>
      <c r="E54" s="43">
        <v>250</v>
      </c>
      <c r="F54" s="43">
        <v>150</v>
      </c>
      <c r="G54" s="43">
        <v>0</v>
      </c>
      <c r="H54" s="43">
        <v>100</v>
      </c>
      <c r="I54" s="43">
        <v>0</v>
      </c>
      <c r="J54" s="43">
        <v>50</v>
      </c>
      <c r="K54" s="43">
        <v>200</v>
      </c>
      <c r="L54" s="43">
        <v>50</v>
      </c>
      <c r="M54" s="43"/>
      <c r="N54" s="43"/>
      <c r="O54" s="43"/>
      <c r="P54" s="44">
        <f>SUM(C54:O54)</f>
        <v>5400</v>
      </c>
    </row>
    <row r="55" spans="1:16" customHeight="1" ht="12.75">
      <c r="A55" s="18" t="s">
        <v>110</v>
      </c>
      <c r="B55" s="4" t="s">
        <v>111</v>
      </c>
      <c r="C55" s="43">
        <v>2580</v>
      </c>
      <c r="D55" s="43">
        <v>0</v>
      </c>
      <c r="E55" s="43">
        <v>100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2680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9200</v>
      </c>
      <c r="D57" s="43">
        <v>50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9250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350</v>
      </c>
      <c r="D66" s="43">
        <v>0</v>
      </c>
      <c r="E66" s="43">
        <v>350</v>
      </c>
      <c r="F66" s="43">
        <v>0</v>
      </c>
      <c r="G66" s="43">
        <v>50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750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1728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1728</v>
      </c>
    </row>
    <row r="74" spans="1:16" customHeight="1" ht="12.75">
      <c r="A74" s="18" t="s">
        <v>147</v>
      </c>
      <c r="B74" s="4" t="s">
        <v>148</v>
      </c>
      <c r="C74" s="43">
        <v>12800</v>
      </c>
      <c r="D74" s="43">
        <v>640</v>
      </c>
      <c r="E74" s="43">
        <v>300</v>
      </c>
      <c r="F74" s="43">
        <v>0</v>
      </c>
      <c r="G74" s="43">
        <v>200</v>
      </c>
      <c r="H74" s="43">
        <v>0</v>
      </c>
      <c r="I74" s="43">
        <v>300</v>
      </c>
      <c r="J74" s="43">
        <v>300</v>
      </c>
      <c r="K74" s="43">
        <v>0</v>
      </c>
      <c r="L74" s="43">
        <v>0</v>
      </c>
      <c r="M74" s="43"/>
      <c r="N74" s="43"/>
      <c r="O74" s="43"/>
      <c r="P74" s="44">
        <f>SUM(C74:O74)</f>
        <v>14540</v>
      </c>
    </row>
    <row r="75" spans="1:16" customHeight="1" ht="12.75">
      <c r="A75" s="18" t="s">
        <v>149</v>
      </c>
      <c r="B75" s="4" t="s">
        <v>150</v>
      </c>
      <c r="C75" s="43">
        <v>1375</v>
      </c>
      <c r="D75" s="43">
        <v>0</v>
      </c>
      <c r="E75" s="43">
        <v>100</v>
      </c>
      <c r="F75" s="43">
        <v>50</v>
      </c>
      <c r="G75" s="43">
        <v>50</v>
      </c>
      <c r="H75" s="43">
        <v>50</v>
      </c>
      <c r="I75" s="43">
        <v>150</v>
      </c>
      <c r="J75" s="43">
        <v>0</v>
      </c>
      <c r="K75" s="43">
        <v>50</v>
      </c>
      <c r="L75" s="43">
        <v>0</v>
      </c>
      <c r="M75" s="43"/>
      <c r="N75" s="43"/>
      <c r="O75" s="43"/>
      <c r="P75" s="44">
        <f>SUM(C75:O75)</f>
        <v>1825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65</v>
      </c>
      <c r="D79" s="43">
        <v>0</v>
      </c>
      <c r="E79" s="43">
        <v>0</v>
      </c>
      <c r="F79" s="43">
        <v>0</v>
      </c>
      <c r="G79" s="43">
        <v>0</v>
      </c>
      <c r="H79" s="43">
        <v>5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70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383349</v>
      </c>
      <c r="D83" s="43">
        <v>-2452</v>
      </c>
      <c r="E83" s="43">
        <v>-2260</v>
      </c>
      <c r="F83" s="43">
        <v>-780</v>
      </c>
      <c r="G83" s="43">
        <v>-850</v>
      </c>
      <c r="H83" s="43">
        <v>-1050</v>
      </c>
      <c r="I83" s="43">
        <v>-1710</v>
      </c>
      <c r="J83" s="43">
        <v>-910</v>
      </c>
      <c r="K83" s="43">
        <v>-2010</v>
      </c>
      <c r="L83" s="43">
        <v>-5910</v>
      </c>
      <c r="M83" s="43"/>
      <c r="N83" s="43"/>
      <c r="O83" s="43"/>
      <c r="P83" s="44">
        <f>SUM(C83:O83)</f>
        <v>365417</v>
      </c>
    </row>
    <row r="84" spans="1:16" customHeight="1" ht="12.75">
      <c r="A84" s="18" t="s">
        <v>166</v>
      </c>
      <c r="B84" s="4" t="s">
        <v>167</v>
      </c>
      <c r="C84" s="43">
        <v>55967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55967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-44926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-44926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57429.3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57429.3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2251.41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2251.41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607699.3</v>
      </c>
      <c r="D107" s="47">
        <f>SUM(D38:D106)</f>
        <v>-4200</v>
      </c>
      <c r="E107" s="47">
        <f>SUM(E38:E106)</f>
        <v>4265</v>
      </c>
      <c r="F107" s="47">
        <f>SUM(F38:F106)</f>
        <v>25</v>
      </c>
      <c r="G107" s="47">
        <f>SUM(G38:G106)</f>
        <v>-90</v>
      </c>
      <c r="H107" s="47">
        <f>SUM(H38:H106)</f>
        <v>590</v>
      </c>
      <c r="I107" s="47">
        <f>SUM(I38:I106)</f>
        <v>-590</v>
      </c>
      <c r="J107" s="47">
        <f>SUM(J38:J106)</f>
        <v>0</v>
      </c>
      <c r="K107" s="47">
        <f>SUM(K38:K106)</f>
        <v>-200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607499.3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29106.7</v>
      </c>
      <c r="D109" s="49">
        <f>D36-D107</f>
        <v>0</v>
      </c>
      <c r="E109" s="49">
        <f>E36-E107</f>
        <v>-65</v>
      </c>
      <c r="F109" s="49">
        <f>F36-F107</f>
        <v>-25</v>
      </c>
      <c r="G109" s="49">
        <f>G36-G107</f>
        <v>90</v>
      </c>
      <c r="H109" s="49">
        <f>H36-H107</f>
        <v>-590</v>
      </c>
      <c r="I109" s="49">
        <f>I36-I107</f>
        <v>590</v>
      </c>
      <c r="J109" s="49">
        <f>J36-J107</f>
        <v>0</v>
      </c>
      <c r="K109" s="49">
        <f>K36-K107</f>
        <v>0</v>
      </c>
      <c r="L109" s="49">
        <f>L36-L107</f>
        <v>0</v>
      </c>
      <c r="M109" s="49"/>
      <c r="N109" s="49"/>
      <c r="O109" s="49"/>
      <c r="P109" s="50">
        <f>P36-P107</f>
        <v>29106.7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-65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-5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-70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-2756.11406941</v>
      </c>
      <c r="D118" s="45">
        <v>-177.04034575</v>
      </c>
      <c r="E118" s="45">
        <v>-179.33316256</v>
      </c>
      <c r="F118" s="45">
        <v>-193.92855353</v>
      </c>
      <c r="G118" s="45">
        <v>-199.40997126</v>
      </c>
      <c r="H118" s="45">
        <v>-209.62555851</v>
      </c>
      <c r="I118" s="45">
        <v>-204.46329863</v>
      </c>
      <c r="J118" s="45">
        <v>-205.49394404</v>
      </c>
      <c r="K118" s="45">
        <v>-220.28454139</v>
      </c>
      <c r="L118" s="45">
        <v>-220.18249177</v>
      </c>
      <c r="M118" s="45"/>
      <c r="N118" s="45"/>
      <c r="O118" s="45"/>
      <c r="P118" s="46">
        <f>SUM(C118:O118)</f>
        <v>-4565.87593685</v>
      </c>
    </row>
    <row r="119" spans="1:16" customHeight="1" ht="12.75">
      <c r="A119" s="20">
        <v>4.3</v>
      </c>
      <c r="B119" s="15" t="s">
        <v>210</v>
      </c>
      <c r="C119" s="47">
        <f>SUM(C111:C118)</f>
        <v>-2821.11406941</v>
      </c>
      <c r="D119" s="47">
        <f>SUM(D111:D118)</f>
        <v>-177.04034575</v>
      </c>
      <c r="E119" s="47">
        <f>SUM(E111:E118)</f>
        <v>-179.33316256</v>
      </c>
      <c r="F119" s="47">
        <f>SUM(F111:F118)</f>
        <v>-193.92855353</v>
      </c>
      <c r="G119" s="47">
        <f>SUM(G111:G118)</f>
        <v>-199.40997126</v>
      </c>
      <c r="H119" s="47">
        <f>SUM(H111:H118)</f>
        <v>-214.62555851</v>
      </c>
      <c r="I119" s="47">
        <f>SUM(I111:I118)</f>
        <v>-204.46329863</v>
      </c>
      <c r="J119" s="47">
        <f>SUM(J111:J118)</f>
        <v>-205.49394404</v>
      </c>
      <c r="K119" s="47">
        <f>SUM(K111:K118)</f>
        <v>-220.28454139</v>
      </c>
      <c r="L119" s="47">
        <f>SUM(L111:L118)</f>
        <v>-220.18249177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-4635.87593685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31927.81406941</v>
      </c>
      <c r="D121" s="49">
        <f>D109-D119</f>
        <v>177.04034575</v>
      </c>
      <c r="E121" s="49">
        <f>E109-E119</f>
        <v>114.33316256</v>
      </c>
      <c r="F121" s="49">
        <f>F109-F119</f>
        <v>168.92855353</v>
      </c>
      <c r="G121" s="49">
        <f>G109-G119</f>
        <v>289.40997126</v>
      </c>
      <c r="H121" s="49">
        <f>H109-H119</f>
        <v>-375.37444149</v>
      </c>
      <c r="I121" s="49">
        <f>I109-I119</f>
        <v>794.46329863</v>
      </c>
      <c r="J121" s="49">
        <f>J109-J119</f>
        <v>205.49394404</v>
      </c>
      <c r="K121" s="49">
        <f>K109-K119</f>
        <v>220.28454139</v>
      </c>
      <c r="L121" s="49">
        <f>L109-L119</f>
        <v>220.18249177</v>
      </c>
      <c r="M121" s="49"/>
      <c r="N121" s="49"/>
      <c r="O121" s="49"/>
      <c r="P121" s="50">
        <f>P109-P119</f>
        <v>33742.57593685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18937.11</v>
      </c>
      <c r="D125" s="43">
        <f>(D36-D18-D20-D33)*D124</f>
        <v>-126</v>
      </c>
      <c r="E125" s="43">
        <f>(E36-E18-E20-E33)*E124</f>
        <v>126</v>
      </c>
      <c r="F125" s="43">
        <f>(F36-F18-F20-F33)*F124</f>
        <v>0</v>
      </c>
      <c r="G125" s="43">
        <f>(G36-G18-G20-G33)*G124</f>
        <v>0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-12</v>
      </c>
      <c r="L125" s="43">
        <f>(L36-L18-L20-L33)*L124</f>
        <v>0</v>
      </c>
      <c r="M125" s="43"/>
      <c r="N125" s="43"/>
      <c r="O125" s="43"/>
      <c r="P125" s="44">
        <f>SUM(C125:O125)</f>
        <v>18925.11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-0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-0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12990.70406941</v>
      </c>
      <c r="D129" s="51">
        <f>D121-SUM(D125:D126)+IF(ISBLANK(D127), 0, D127)</f>
        <v>303.04034575</v>
      </c>
      <c r="E129" s="51">
        <f>E121-SUM(E125:E126)+IF(ISBLANK(E127), 0, E127)</f>
        <v>-11.66683744</v>
      </c>
      <c r="F129" s="51">
        <f>F121-SUM(F125:F126)+IF(ISBLANK(F127), 0, F127)</f>
        <v>168.92855353</v>
      </c>
      <c r="G129" s="51">
        <f>G121-SUM(G125:G126)+IF(ISBLANK(G127), 0, G127)</f>
        <v>289.40997126</v>
      </c>
      <c r="H129" s="51">
        <f>H121-SUM(H125:H126)+IF(ISBLANK(H127), 0, H127)</f>
        <v>-375.37444149</v>
      </c>
      <c r="I129" s="51">
        <f>I121-SUM(I125:I126)+IF(ISBLANK(I127), 0, I127)</f>
        <v>794.46329863</v>
      </c>
      <c r="J129" s="51">
        <f>J121-SUM(J125:J126)+IF(ISBLANK(J127), 0, J127)</f>
        <v>205.49394404</v>
      </c>
      <c r="K129" s="51">
        <f>K121-SUM(K125:K126)+IF(ISBLANK(K127), 0, K127)</f>
        <v>232.28454139</v>
      </c>
      <c r="L129" s="51">
        <f>L121-SUM(L125:L126)+IF(ISBLANK(L127), 0, L127)</f>
        <v>220.18249177</v>
      </c>
      <c r="M129" s="51"/>
      <c r="N129" s="51"/>
      <c r="O129" s="51"/>
      <c r="P129" s="52">
        <f>P121-SUM(P125:P126)+IF(ISBLANK(P127), 0, P127)</f>
        <v>14817.46593685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1057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342900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342900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35019.13</v>
      </c>
      <c r="D16" s="43">
        <v>0</v>
      </c>
      <c r="E16" s="43">
        <v>263.4</v>
      </c>
      <c r="F16" s="43">
        <v>12482</v>
      </c>
      <c r="G16" s="43">
        <v>30.8</v>
      </c>
      <c r="H16" s="43">
        <v>0</v>
      </c>
      <c r="I16" s="43">
        <v>325.4</v>
      </c>
      <c r="J16" s="43">
        <v>-380</v>
      </c>
      <c r="K16" s="43">
        <v>0</v>
      </c>
      <c r="L16" s="43">
        <v>1616</v>
      </c>
      <c r="M16" s="43"/>
      <c r="N16" s="43"/>
      <c r="O16" s="43"/>
      <c r="P16" s="44">
        <f>SUM(C16:O16)</f>
        <v>49356.73</v>
      </c>
    </row>
    <row r="17" spans="1:16" customHeight="1" ht="12.75">
      <c r="A17" s="18" t="s">
        <v>54</v>
      </c>
      <c r="B17" s="4" t="s">
        <v>55</v>
      </c>
      <c r="C17" s="43">
        <v>6653.57</v>
      </c>
      <c r="D17" s="43">
        <v>0</v>
      </c>
      <c r="E17" s="43">
        <v>50</v>
      </c>
      <c r="F17" s="43">
        <v>2371</v>
      </c>
      <c r="G17" s="43">
        <v>6</v>
      </c>
      <c r="H17" s="43">
        <v>0</v>
      </c>
      <c r="I17" s="43">
        <v>61.8</v>
      </c>
      <c r="J17" s="43">
        <v>-71.2</v>
      </c>
      <c r="K17" s="43">
        <v>0</v>
      </c>
      <c r="L17" s="43">
        <v>307</v>
      </c>
      <c r="M17" s="43"/>
      <c r="N17" s="43"/>
      <c r="O17" s="43"/>
      <c r="P17" s="44">
        <f>SUM(C17:O17)</f>
        <v>9378.17</v>
      </c>
    </row>
    <row r="18" spans="1:16" customHeight="1" ht="12.75">
      <c r="A18" s="18">
        <v>1.3</v>
      </c>
      <c r="B18" s="4" t="s">
        <v>56</v>
      </c>
      <c r="C18" s="43">
        <v>2743.02</v>
      </c>
      <c r="D18" s="43">
        <v>38.6</v>
      </c>
      <c r="E18" s="43">
        <v>77</v>
      </c>
      <c r="F18" s="43">
        <v>0</v>
      </c>
      <c r="G18" s="43">
        <v>0</v>
      </c>
      <c r="H18" s="43">
        <v>138.24</v>
      </c>
      <c r="I18" s="43">
        <v>0</v>
      </c>
      <c r="J18" s="43">
        <v>115.86</v>
      </c>
      <c r="K18" s="43">
        <v>0</v>
      </c>
      <c r="L18" s="43">
        <v>743.9</v>
      </c>
      <c r="M18" s="43"/>
      <c r="N18" s="43"/>
      <c r="O18" s="43"/>
      <c r="P18" s="44">
        <f>SUM(C18:O18)</f>
        <v>3856.62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6054.9</v>
      </c>
      <c r="D23" s="43">
        <v>225</v>
      </c>
      <c r="E23" s="43">
        <v>394</v>
      </c>
      <c r="F23" s="43">
        <v>240</v>
      </c>
      <c r="G23" s="43">
        <v>129.6</v>
      </c>
      <c r="H23" s="43">
        <v>-20</v>
      </c>
      <c r="I23" s="43">
        <v>403</v>
      </c>
      <c r="J23" s="43">
        <v>372</v>
      </c>
      <c r="K23" s="43">
        <v>364</v>
      </c>
      <c r="L23" s="43">
        <v>286</v>
      </c>
      <c r="M23" s="43"/>
      <c r="N23" s="43"/>
      <c r="O23" s="43"/>
      <c r="P23" s="44">
        <f>SUM(C23:O23)</f>
        <v>8448.5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393370.62</v>
      </c>
      <c r="D36" s="47">
        <f>SUM(D13:D35)</f>
        <v>263.6</v>
      </c>
      <c r="E36" s="47">
        <f>SUM(E13:E35)</f>
        <v>784.4</v>
      </c>
      <c r="F36" s="47">
        <f>SUM(F13:F35)</f>
        <v>15093</v>
      </c>
      <c r="G36" s="47">
        <f>SUM(G13:G35)</f>
        <v>166.4</v>
      </c>
      <c r="H36" s="47">
        <f>SUM(H13:H35)</f>
        <v>118.24</v>
      </c>
      <c r="I36" s="47">
        <f>SUM(I13:I35)</f>
        <v>790.2</v>
      </c>
      <c r="J36" s="47">
        <f>SUM(J13:J35)</f>
        <v>36.66</v>
      </c>
      <c r="K36" s="47">
        <f>SUM(K13:K35)</f>
        <v>364</v>
      </c>
      <c r="L36" s="47">
        <f>SUM(L13:L35)</f>
        <v>2952.9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413940.02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36781.01</v>
      </c>
      <c r="D40" s="43">
        <v>1104.11</v>
      </c>
      <c r="E40" s="43">
        <v>1337.92</v>
      </c>
      <c r="F40" s="43">
        <v>1178.1733</v>
      </c>
      <c r="G40" s="43">
        <v>1271.43</v>
      </c>
      <c r="H40" s="43">
        <v>1194.67</v>
      </c>
      <c r="I40" s="43">
        <v>1171.6728</v>
      </c>
      <c r="J40" s="43">
        <v>1183.4441</v>
      </c>
      <c r="K40" s="43">
        <v>1191.9038</v>
      </c>
      <c r="L40" s="43">
        <v>1132.8351</v>
      </c>
      <c r="M40" s="43"/>
      <c r="N40" s="43"/>
      <c r="O40" s="43"/>
      <c r="P40" s="44">
        <f>SUM(C40:O40)</f>
        <v>47547.1691</v>
      </c>
    </row>
    <row r="41" spans="1:16" customHeight="1" ht="12.75">
      <c r="A41" s="18" t="s">
        <v>83</v>
      </c>
      <c r="B41" s="4" t="s">
        <v>84</v>
      </c>
      <c r="C41" s="43">
        <v>37.75</v>
      </c>
      <c r="D41" s="43">
        <v>0</v>
      </c>
      <c r="E41" s="43">
        <v>9.38</v>
      </c>
      <c r="F41" s="43">
        <v>11.527</v>
      </c>
      <c r="G41" s="43">
        <v>6.08</v>
      </c>
      <c r="H41" s="43">
        <v>143.51</v>
      </c>
      <c r="I41" s="43">
        <v>102.9523</v>
      </c>
      <c r="J41" s="43">
        <v>13.3185</v>
      </c>
      <c r="K41" s="43">
        <v>19.57</v>
      </c>
      <c r="L41" s="43">
        <v>69.5118</v>
      </c>
      <c r="M41" s="43"/>
      <c r="N41" s="43"/>
      <c r="O41" s="43"/>
      <c r="P41" s="44">
        <f>SUM(C41:O41)</f>
        <v>413.5996</v>
      </c>
    </row>
    <row r="42" spans="1:16" customHeight="1" ht="12.75">
      <c r="A42" s="18" t="s">
        <v>85</v>
      </c>
      <c r="B42" s="4" t="s">
        <v>86</v>
      </c>
      <c r="C42" s="43">
        <v>4313.17</v>
      </c>
      <c r="D42" s="43">
        <v>222.26</v>
      </c>
      <c r="E42" s="43">
        <v>219.32</v>
      </c>
      <c r="F42" s="43">
        <v>219.9343</v>
      </c>
      <c r="G42" s="43">
        <v>184.54</v>
      </c>
      <c r="H42" s="43">
        <v>210.75</v>
      </c>
      <c r="I42" s="43">
        <v>220.5549</v>
      </c>
      <c r="J42" s="43">
        <v>224.8569</v>
      </c>
      <c r="K42" s="43">
        <v>214.15</v>
      </c>
      <c r="L42" s="43">
        <v>201.5435</v>
      </c>
      <c r="M42" s="43"/>
      <c r="N42" s="43"/>
      <c r="O42" s="43"/>
      <c r="P42" s="44">
        <f>SUM(C42:O42)</f>
        <v>6231.0796</v>
      </c>
    </row>
    <row r="43" spans="1:16" customHeight="1" ht="12.75">
      <c r="A43" s="18" t="s">
        <v>87</v>
      </c>
      <c r="B43" s="4" t="s">
        <v>88</v>
      </c>
      <c r="C43" s="43">
        <v>3584.56</v>
      </c>
      <c r="D43" s="43">
        <v>213.7</v>
      </c>
      <c r="E43" s="43">
        <v>182.21</v>
      </c>
      <c r="F43" s="43">
        <v>152.83053</v>
      </c>
      <c r="G43" s="43">
        <v>168.96</v>
      </c>
      <c r="H43" s="43">
        <v>157.76</v>
      </c>
      <c r="I43" s="43">
        <v>168.3394</v>
      </c>
      <c r="J43" s="43">
        <v>217.3633</v>
      </c>
      <c r="K43" s="43">
        <v>221.32</v>
      </c>
      <c r="L43" s="43">
        <v>241.3102</v>
      </c>
      <c r="M43" s="43"/>
      <c r="N43" s="43"/>
      <c r="O43" s="43"/>
      <c r="P43" s="44">
        <f>SUM(C43:O43)</f>
        <v>5308.35343</v>
      </c>
    </row>
    <row r="44" spans="1:16" customHeight="1" ht="12.75">
      <c r="A44" s="18" t="s">
        <v>89</v>
      </c>
      <c r="B44" s="4" t="s">
        <v>90</v>
      </c>
      <c r="C44" s="43">
        <v>8293.378</v>
      </c>
      <c r="D44" s="43">
        <v>83.485</v>
      </c>
      <c r="E44" s="43">
        <v>97.365</v>
      </c>
      <c r="F44" s="43">
        <v>97.771</v>
      </c>
      <c r="G44" s="43">
        <v>91.994</v>
      </c>
      <c r="H44" s="43">
        <v>99.518</v>
      </c>
      <c r="I44" s="43">
        <v>55.56</v>
      </c>
      <c r="J44" s="43">
        <v>70.102</v>
      </c>
      <c r="K44" s="43">
        <v>128.884</v>
      </c>
      <c r="L44" s="43">
        <v>62.141</v>
      </c>
      <c r="M44" s="43"/>
      <c r="N44" s="43"/>
      <c r="O44" s="43"/>
      <c r="P44" s="44">
        <f>SUM(C44:O44)</f>
        <v>9080.198</v>
      </c>
    </row>
    <row r="45" spans="1:16" customHeight="1" ht="12.75">
      <c r="A45" s="18" t="s">
        <v>91</v>
      </c>
      <c r="B45" s="4" t="s">
        <v>92</v>
      </c>
      <c r="C45" s="43">
        <v>23944.54236</v>
      </c>
      <c r="D45" s="43">
        <v>881.80589</v>
      </c>
      <c r="E45" s="43">
        <v>751.71313</v>
      </c>
      <c r="F45" s="43">
        <v>382.74766</v>
      </c>
      <c r="G45" s="43">
        <v>392.71382</v>
      </c>
      <c r="H45" s="43">
        <v>745.26957</v>
      </c>
      <c r="I45" s="43">
        <v>609.61686</v>
      </c>
      <c r="J45" s="43">
        <v>863.59738</v>
      </c>
      <c r="K45" s="43">
        <v>1400.59736</v>
      </c>
      <c r="L45" s="43">
        <v>1717.41354</v>
      </c>
      <c r="M45" s="43"/>
      <c r="N45" s="43"/>
      <c r="O45" s="43"/>
      <c r="P45" s="44">
        <f>SUM(C45:O45)</f>
        <v>31690.01757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257.44424</v>
      </c>
      <c r="D47" s="43">
        <v>2.0825</v>
      </c>
      <c r="E47" s="43">
        <v>5.079</v>
      </c>
      <c r="F47" s="43">
        <v>3.531</v>
      </c>
      <c r="G47" s="43">
        <v>2.843</v>
      </c>
      <c r="H47" s="43">
        <v>0</v>
      </c>
      <c r="I47" s="43">
        <v>0</v>
      </c>
      <c r="J47" s="43">
        <v>4.259</v>
      </c>
      <c r="K47" s="43">
        <v>4.848</v>
      </c>
      <c r="L47" s="43">
        <v>3.829</v>
      </c>
      <c r="M47" s="43"/>
      <c r="N47" s="43"/>
      <c r="O47" s="43"/>
      <c r="P47" s="44">
        <f>SUM(C47:O47)</f>
        <v>283.91574</v>
      </c>
    </row>
    <row r="48" spans="1:16" customHeight="1" ht="12.75">
      <c r="A48" s="18" t="s">
        <v>97</v>
      </c>
      <c r="B48" s="4" t="s">
        <v>98</v>
      </c>
      <c r="C48" s="43">
        <v>15452.166</v>
      </c>
      <c r="D48" s="43">
        <v>0</v>
      </c>
      <c r="E48" s="43">
        <v>0</v>
      </c>
      <c r="F48" s="43">
        <v>0</v>
      </c>
      <c r="G48" s="43">
        <v>120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/>
      <c r="N48" s="43"/>
      <c r="O48" s="43"/>
      <c r="P48" s="44">
        <f>SUM(C48:O48)</f>
        <v>15572.166</v>
      </c>
    </row>
    <row r="49" spans="1:16" customHeight="1" ht="12.75">
      <c r="A49" s="18" t="s">
        <v>99</v>
      </c>
      <c r="B49" s="4" t="s">
        <v>100</v>
      </c>
      <c r="C49" s="43">
        <v>5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5</v>
      </c>
    </row>
    <row r="50" spans="1:16" customHeight="1" ht="12.75">
      <c r="A50" s="18" t="s">
        <v>101</v>
      </c>
      <c r="B50" s="4" t="s">
        <v>102</v>
      </c>
      <c r="C50" s="43">
        <v>9131.53227</v>
      </c>
      <c r="D50" s="43">
        <v>172.876</v>
      </c>
      <c r="E50" s="43">
        <v>193.31795</v>
      </c>
      <c r="F50" s="43">
        <v>63.562</v>
      </c>
      <c r="G50" s="43">
        <v>167.249</v>
      </c>
      <c r="H50" s="43">
        <v>37.0609</v>
      </c>
      <c r="I50" s="43">
        <v>14.829</v>
      </c>
      <c r="J50" s="43">
        <v>34.3063</v>
      </c>
      <c r="K50" s="43">
        <v>45.76</v>
      </c>
      <c r="L50" s="43">
        <v>15.693</v>
      </c>
      <c r="M50" s="43"/>
      <c r="N50" s="43"/>
      <c r="O50" s="43"/>
      <c r="P50" s="44">
        <f>SUM(C50:O50)</f>
        <v>9876.18642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4423.1675</v>
      </c>
      <c r="D54" s="43">
        <v>131.915</v>
      </c>
      <c r="E54" s="43">
        <v>203.2425</v>
      </c>
      <c r="F54" s="43">
        <v>167.875</v>
      </c>
      <c r="G54" s="43">
        <v>34.9275</v>
      </c>
      <c r="H54" s="43">
        <v>38.175</v>
      </c>
      <c r="I54" s="43">
        <v>39.6875</v>
      </c>
      <c r="J54" s="43">
        <v>65.6</v>
      </c>
      <c r="K54" s="43">
        <v>218.1825</v>
      </c>
      <c r="L54" s="43">
        <v>30.8775</v>
      </c>
      <c r="M54" s="43"/>
      <c r="N54" s="43"/>
      <c r="O54" s="43"/>
      <c r="P54" s="44">
        <f>SUM(C54:O54)</f>
        <v>5353.65</v>
      </c>
    </row>
    <row r="55" spans="1:16" customHeight="1" ht="12.75">
      <c r="A55" s="18" t="s">
        <v>110</v>
      </c>
      <c r="B55" s="4" t="s">
        <v>111</v>
      </c>
      <c r="C55" s="43">
        <v>2569.39739</v>
      </c>
      <c r="D55" s="43">
        <v>0</v>
      </c>
      <c r="E55" s="43">
        <v>79.8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2649.19739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9177.61085</v>
      </c>
      <c r="D57" s="43">
        <v>23</v>
      </c>
      <c r="E57" s="43">
        <v>7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9207.61085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322.0781</v>
      </c>
      <c r="D66" s="43">
        <v>0</v>
      </c>
      <c r="E66" s="43">
        <v>0</v>
      </c>
      <c r="F66" s="43">
        <v>357.28</v>
      </c>
      <c r="G66" s="43">
        <v>0</v>
      </c>
      <c r="H66" s="43">
        <v>49.86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729.2181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1107.93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2</v>
      </c>
      <c r="K73" s="43">
        <v>0</v>
      </c>
      <c r="L73" s="43">
        <v>0</v>
      </c>
      <c r="M73" s="43"/>
      <c r="N73" s="43"/>
      <c r="O73" s="43"/>
      <c r="P73" s="44">
        <f>SUM(C73:O73)</f>
        <v>1109.93</v>
      </c>
    </row>
    <row r="74" spans="1:16" customHeight="1" ht="12.75">
      <c r="A74" s="18" t="s">
        <v>147</v>
      </c>
      <c r="B74" s="4" t="s">
        <v>148</v>
      </c>
      <c r="C74" s="43">
        <v>12791.69009</v>
      </c>
      <c r="D74" s="43">
        <v>328.44036</v>
      </c>
      <c r="E74" s="43">
        <v>433.954</v>
      </c>
      <c r="F74" s="43">
        <v>132.06264</v>
      </c>
      <c r="G74" s="43">
        <v>58.245</v>
      </c>
      <c r="H74" s="43">
        <v>147.347</v>
      </c>
      <c r="I74" s="43">
        <v>9.4</v>
      </c>
      <c r="J74" s="43">
        <v>600.613</v>
      </c>
      <c r="K74" s="43">
        <v>24.53</v>
      </c>
      <c r="L74" s="43">
        <v>0</v>
      </c>
      <c r="M74" s="43"/>
      <c r="N74" s="43"/>
      <c r="O74" s="43"/>
      <c r="P74" s="44">
        <f>SUM(C74:O74)</f>
        <v>14526.28209</v>
      </c>
    </row>
    <row r="75" spans="1:16" customHeight="1" ht="12.75">
      <c r="A75" s="18" t="s">
        <v>149</v>
      </c>
      <c r="B75" s="4" t="s">
        <v>150</v>
      </c>
      <c r="C75" s="43">
        <v>1306.77599</v>
      </c>
      <c r="D75" s="43">
        <v>55.91848</v>
      </c>
      <c r="E75" s="43">
        <v>111.38338</v>
      </c>
      <c r="F75" s="43">
        <v>44.72687</v>
      </c>
      <c r="G75" s="43">
        <v>40.31285</v>
      </c>
      <c r="H75" s="43">
        <v>29.99352</v>
      </c>
      <c r="I75" s="43">
        <v>43.0673</v>
      </c>
      <c r="J75" s="43">
        <v>144.33572</v>
      </c>
      <c r="K75" s="43">
        <v>29.20265</v>
      </c>
      <c r="L75" s="43">
        <v>8.44845</v>
      </c>
      <c r="M75" s="43"/>
      <c r="N75" s="43"/>
      <c r="O75" s="43"/>
      <c r="P75" s="44">
        <f>SUM(C75:O75)</f>
        <v>1814.16521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61.90196</v>
      </c>
      <c r="D79" s="43">
        <v>1.29577</v>
      </c>
      <c r="E79" s="43">
        <v>1.29577</v>
      </c>
      <c r="F79" s="43">
        <v>1.29576</v>
      </c>
      <c r="G79" s="43">
        <v>1.29577</v>
      </c>
      <c r="H79" s="43">
        <v>1.29577</v>
      </c>
      <c r="I79" s="43">
        <v>1.29577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69.67657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200123.22058</v>
      </c>
      <c r="D83" s="43">
        <v>0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/>
      <c r="N83" s="43"/>
      <c r="O83" s="43"/>
      <c r="P83" s="44">
        <f>SUM(C83:O83)</f>
        <v>200123.22058</v>
      </c>
    </row>
    <row r="84" spans="1:16" customHeight="1" ht="12.75">
      <c r="A84" s="18" t="s">
        <v>166</v>
      </c>
      <c r="B84" s="4" t="s">
        <v>167</v>
      </c>
      <c r="C84" s="43">
        <v>50209.79122</v>
      </c>
      <c r="D84" s="43">
        <v>0</v>
      </c>
      <c r="E84" s="43">
        <v>0</v>
      </c>
      <c r="F84" s="43">
        <v>0</v>
      </c>
      <c r="G84" s="43">
        <v>240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50449.79122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57428.8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57428.8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2251.40822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2251.40822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443574.32477</v>
      </c>
      <c r="D107" s="47">
        <f>SUM(D38:D106)</f>
        <v>3220.889</v>
      </c>
      <c r="E107" s="47">
        <f>SUM(E38:E106)</f>
        <v>3632.98073</v>
      </c>
      <c r="F107" s="47">
        <f>SUM(F38:F106)</f>
        <v>2813.31706</v>
      </c>
      <c r="G107" s="47">
        <f>SUM(G38:G106)</f>
        <v>2780.59094</v>
      </c>
      <c r="H107" s="47">
        <f>SUM(H38:H106)</f>
        <v>2855.20976</v>
      </c>
      <c r="I107" s="47">
        <f>SUM(I38:I106)</f>
        <v>2436.97583</v>
      </c>
      <c r="J107" s="47">
        <f>SUM(J38:J106)</f>
        <v>3423.7962</v>
      </c>
      <c r="K107" s="47">
        <f>SUM(K38:K106)</f>
        <v>3498.94831</v>
      </c>
      <c r="L107" s="47">
        <f>SUM(L38:L106)</f>
        <v>3483.60309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471720.63569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-50203.70477</v>
      </c>
      <c r="D109" s="49">
        <f>D36-D107</f>
        <v>-2957.289</v>
      </c>
      <c r="E109" s="49">
        <f>E36-E107</f>
        <v>-2848.58073</v>
      </c>
      <c r="F109" s="49">
        <f>F36-F107</f>
        <v>12279.68294</v>
      </c>
      <c r="G109" s="49">
        <f>G36-G107</f>
        <v>-2614.19094</v>
      </c>
      <c r="H109" s="49">
        <f>H36-H107</f>
        <v>-2736.96976</v>
      </c>
      <c r="I109" s="49">
        <f>I36-I107</f>
        <v>-1646.77583</v>
      </c>
      <c r="J109" s="49">
        <f>J36-J107</f>
        <v>-3387.1362</v>
      </c>
      <c r="K109" s="49">
        <f>K36-K107</f>
        <v>-3134.94831</v>
      </c>
      <c r="L109" s="49">
        <f>L36-L107</f>
        <v>-530.70309</v>
      </c>
      <c r="M109" s="49"/>
      <c r="N109" s="49"/>
      <c r="O109" s="49"/>
      <c r="P109" s="50">
        <f>P36-P107</f>
        <v>-57780.61569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-61.90196</v>
      </c>
      <c r="D116" s="43">
        <f>D79*-1</f>
        <v>-1.29577</v>
      </c>
      <c r="E116" s="43">
        <f>E79*-1</f>
        <v>-1.29577</v>
      </c>
      <c r="F116" s="43">
        <f>F79*-1</f>
        <v>-1.29576</v>
      </c>
      <c r="G116" s="43">
        <f>G79*-1</f>
        <v>-1.29577</v>
      </c>
      <c r="H116" s="43">
        <f>H79*-1</f>
        <v>-1.29577</v>
      </c>
      <c r="I116" s="43">
        <f>I79*-1</f>
        <v>-1.29577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-69.67657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-2756.11406941</v>
      </c>
      <c r="D118" s="45">
        <v>-177.04034575</v>
      </c>
      <c r="E118" s="45">
        <v>-179.33316256</v>
      </c>
      <c r="F118" s="45">
        <v>-193.92855353</v>
      </c>
      <c r="G118" s="45">
        <v>-199.40997126</v>
      </c>
      <c r="H118" s="45">
        <v>-209.62555851</v>
      </c>
      <c r="I118" s="45">
        <v>-204.46329863</v>
      </c>
      <c r="J118" s="45">
        <v>-205.49394404</v>
      </c>
      <c r="K118" s="45">
        <v>-220.28454139</v>
      </c>
      <c r="L118" s="45">
        <v>-220.18249177</v>
      </c>
      <c r="M118" s="45"/>
      <c r="N118" s="45"/>
      <c r="O118" s="45"/>
      <c r="P118" s="46">
        <f>SUM(C118:O118)</f>
        <v>-4565.87593685</v>
      </c>
    </row>
    <row r="119" spans="1:16" customHeight="1" ht="12.75">
      <c r="A119" s="20">
        <v>4.3</v>
      </c>
      <c r="B119" s="15" t="s">
        <v>210</v>
      </c>
      <c r="C119" s="47">
        <f>SUM(C111:C118)</f>
        <v>-2818.01602941</v>
      </c>
      <c r="D119" s="47">
        <f>SUM(D111:D118)</f>
        <v>-178.33611575</v>
      </c>
      <c r="E119" s="47">
        <f>SUM(E111:E118)</f>
        <v>-180.62893256</v>
      </c>
      <c r="F119" s="47">
        <f>SUM(F111:F118)</f>
        <v>-195.22431353</v>
      </c>
      <c r="G119" s="47">
        <f>SUM(G111:G118)</f>
        <v>-200.70574126</v>
      </c>
      <c r="H119" s="47">
        <f>SUM(H111:H118)</f>
        <v>-210.92132851</v>
      </c>
      <c r="I119" s="47">
        <f>SUM(I111:I118)</f>
        <v>-205.75906863</v>
      </c>
      <c r="J119" s="47">
        <f>SUM(J111:J118)</f>
        <v>-205.49394404</v>
      </c>
      <c r="K119" s="47">
        <f>SUM(K111:K118)</f>
        <v>-220.28454139</v>
      </c>
      <c r="L119" s="47">
        <f>SUM(L111:L118)</f>
        <v>-220.18249177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-4635.55250685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-47385.68874059</v>
      </c>
      <c r="D121" s="49">
        <f>D109-D119</f>
        <v>-2778.95288425</v>
      </c>
      <c r="E121" s="49">
        <f>E109-E119</f>
        <v>-2667.95179744</v>
      </c>
      <c r="F121" s="49">
        <f>F109-F119</f>
        <v>12474.90725353</v>
      </c>
      <c r="G121" s="49">
        <f>G109-G119</f>
        <v>-2413.48519874</v>
      </c>
      <c r="H121" s="49">
        <f>H109-H119</f>
        <v>-2526.04843149</v>
      </c>
      <c r="I121" s="49">
        <f>I109-I119</f>
        <v>-1441.01676137</v>
      </c>
      <c r="J121" s="49">
        <f>J109-J119</f>
        <v>-3181.64225596</v>
      </c>
      <c r="K121" s="49">
        <f>K109-K119</f>
        <v>-2914.66376861</v>
      </c>
      <c r="L121" s="49">
        <f>L109-L119</f>
        <v>-310.52059823</v>
      </c>
      <c r="M121" s="49"/>
      <c r="N121" s="49"/>
      <c r="O121" s="49"/>
      <c r="P121" s="50">
        <f>P109-P119</f>
        <v>-53145.06318315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11718.828</v>
      </c>
      <c r="D125" s="43">
        <f>(D36-D18-D20-D33)*D124</f>
        <v>6.75</v>
      </c>
      <c r="E125" s="43">
        <f>(E36-E18-E20-E33)*E124</f>
        <v>21.222</v>
      </c>
      <c r="F125" s="43">
        <f>(F36-F18-F20-F33)*F124</f>
        <v>452.79</v>
      </c>
      <c r="G125" s="43">
        <f>(G36-G18-G20-G33)*G124</f>
        <v>9.984</v>
      </c>
      <c r="H125" s="43">
        <f>(H36-H18-H20-H33)*H124</f>
        <v>-1.2</v>
      </c>
      <c r="I125" s="43">
        <f>(I36-I18-I20-I33)*I124</f>
        <v>47.412</v>
      </c>
      <c r="J125" s="43">
        <f>(J36-J18-J20-J33)*J124</f>
        <v>-4.752</v>
      </c>
      <c r="K125" s="43">
        <f>(K36-K18-K20-K33)*K124</f>
        <v>21.84</v>
      </c>
      <c r="L125" s="43">
        <f>(L36-L18-L20-L33)*L124</f>
        <v>132.54</v>
      </c>
      <c r="M125" s="43"/>
      <c r="N125" s="43"/>
      <c r="O125" s="43"/>
      <c r="P125" s="44">
        <f>SUM(C125:O125)</f>
        <v>12405.414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-0</v>
      </c>
      <c r="I126" s="43">
        <f>(I36-I18-I20-I33)*0.000000</f>
        <v>0</v>
      </c>
      <c r="J126" s="43">
        <f>(J36-J18-J20-J33)*0.000000</f>
        <v>-0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-59104.51674059</v>
      </c>
      <c r="D129" s="51">
        <f>D121-SUM(D125:D126)+IF(ISBLANK(D127), 0, D127)</f>
        <v>-2785.70288425</v>
      </c>
      <c r="E129" s="51">
        <f>E121-SUM(E125:E126)+IF(ISBLANK(E127), 0, E127)</f>
        <v>-2689.17379744</v>
      </c>
      <c r="F129" s="51">
        <f>F121-SUM(F125:F126)+IF(ISBLANK(F127), 0, F127)</f>
        <v>12022.11725353</v>
      </c>
      <c r="G129" s="51">
        <f>G121-SUM(G125:G126)+IF(ISBLANK(G127), 0, G127)</f>
        <v>-2423.46919874</v>
      </c>
      <c r="H129" s="51">
        <f>H121-SUM(H125:H126)+IF(ISBLANK(H127), 0, H127)</f>
        <v>-2524.84843149</v>
      </c>
      <c r="I129" s="51">
        <f>I121-SUM(I125:I126)+IF(ISBLANK(I127), 0, I127)</f>
        <v>-1488.42876137</v>
      </c>
      <c r="J129" s="51">
        <f>J121-SUM(J125:J126)+IF(ISBLANK(J127), 0, J127)</f>
        <v>-3176.89025596</v>
      </c>
      <c r="K129" s="51">
        <f>K121-SUM(K125:K126)+IF(ISBLANK(K127), 0, K127)</f>
        <v>-2936.50376861</v>
      </c>
      <c r="L129" s="51">
        <f>L121-SUM(L125:L126)+IF(ISBLANK(L127), 0, L127)</f>
        <v>-443.06059823</v>
      </c>
      <c r="M129" s="51"/>
      <c r="N129" s="51"/>
      <c r="O129" s="51"/>
      <c r="P129" s="52">
        <f>P121-SUM(P125:P126)+IF(ISBLANK(P127), 0, P127)</f>
        <v>-65550.47718315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1057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258890.11</v>
      </c>
      <c r="D14" s="43">
        <v>10623</v>
      </c>
      <c r="E14" s="43">
        <v>15891.6</v>
      </c>
      <c r="F14" s="43">
        <v>12132.9</v>
      </c>
      <c r="G14" s="43">
        <v>11931.4</v>
      </c>
      <c r="H14" s="43">
        <v>10956.5</v>
      </c>
      <c r="I14" s="43">
        <v>10262.96</v>
      </c>
      <c r="J14" s="43">
        <v>11550.12</v>
      </c>
      <c r="K14" s="43">
        <v>11851.9</v>
      </c>
      <c r="L14" s="43">
        <v>8782.5</v>
      </c>
      <c r="M14" s="43"/>
      <c r="N14" s="43"/>
      <c r="O14" s="43"/>
      <c r="P14" s="44">
        <f>SUM(C14:O14)</f>
        <v>362872.99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5650.02</v>
      </c>
      <c r="D18" s="43">
        <v>38.6</v>
      </c>
      <c r="E18" s="43">
        <v>77</v>
      </c>
      <c r="F18" s="43">
        <v>0</v>
      </c>
      <c r="G18" s="43">
        <v>0</v>
      </c>
      <c r="H18" s="43">
        <v>138.2</v>
      </c>
      <c r="I18" s="43">
        <v>0</v>
      </c>
      <c r="J18" s="43">
        <v>115.86</v>
      </c>
      <c r="K18" s="43">
        <v>0</v>
      </c>
      <c r="L18" s="43">
        <v>743.9</v>
      </c>
      <c r="M18" s="43"/>
      <c r="N18" s="43"/>
      <c r="O18" s="43"/>
      <c r="P18" s="44">
        <f>SUM(C18:O18)</f>
        <v>6763.58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-1528.4</v>
      </c>
      <c r="G29" s="43">
        <v>-1503.1</v>
      </c>
      <c r="H29" s="43">
        <v>-1380.2</v>
      </c>
      <c r="I29" s="43">
        <v>-1292.9</v>
      </c>
      <c r="J29" s="43">
        <v>-1455</v>
      </c>
      <c r="K29" s="43">
        <v>-1493</v>
      </c>
      <c r="L29" s="43">
        <v>-1106.4</v>
      </c>
      <c r="M29" s="43"/>
      <c r="N29" s="43"/>
      <c r="O29" s="43"/>
      <c r="P29" s="44">
        <f>SUM(C29:O29)</f>
        <v>-9759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264540.13</v>
      </c>
      <c r="D36" s="47">
        <f>SUM(D13:D35)</f>
        <v>10661.6</v>
      </c>
      <c r="E36" s="47">
        <f>SUM(E13:E35)</f>
        <v>15968.6</v>
      </c>
      <c r="F36" s="47">
        <f>SUM(F13:F35)</f>
        <v>10604.5</v>
      </c>
      <c r="G36" s="47">
        <f>SUM(G13:G35)</f>
        <v>10428.3</v>
      </c>
      <c r="H36" s="47">
        <f>SUM(H13:H35)</f>
        <v>9714.5</v>
      </c>
      <c r="I36" s="47">
        <f>SUM(I13:I35)</f>
        <v>8970.06</v>
      </c>
      <c r="J36" s="47">
        <f>SUM(J13:J35)</f>
        <v>10210.98</v>
      </c>
      <c r="K36" s="47">
        <f>SUM(K13:K35)</f>
        <v>10358.9</v>
      </c>
      <c r="L36" s="47">
        <f>SUM(L13:L35)</f>
        <v>8420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359877.57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36781.01</v>
      </c>
      <c r="D40" s="43">
        <v>1104.11</v>
      </c>
      <c r="E40" s="43">
        <v>1337.92</v>
      </c>
      <c r="F40" s="43">
        <v>1178.1733</v>
      </c>
      <c r="G40" s="43">
        <v>1271.43</v>
      </c>
      <c r="H40" s="43">
        <v>1194.67</v>
      </c>
      <c r="I40" s="43">
        <v>1171.6728</v>
      </c>
      <c r="J40" s="43">
        <v>1183.4441</v>
      </c>
      <c r="K40" s="43">
        <v>1191.9038</v>
      </c>
      <c r="L40" s="43">
        <v>1132.8351</v>
      </c>
      <c r="M40" s="43"/>
      <c r="N40" s="43"/>
      <c r="O40" s="43"/>
      <c r="P40" s="44">
        <f>SUM(C40:O40)</f>
        <v>47547.1691</v>
      </c>
    </row>
    <row r="41" spans="1:16" customHeight="1" ht="12.75">
      <c r="A41" s="18" t="s">
        <v>83</v>
      </c>
      <c r="B41" s="4" t="s">
        <v>84</v>
      </c>
      <c r="C41" s="43">
        <v>37.75</v>
      </c>
      <c r="D41" s="43">
        <v>0</v>
      </c>
      <c r="E41" s="43">
        <v>9.38</v>
      </c>
      <c r="F41" s="43">
        <v>11.527</v>
      </c>
      <c r="G41" s="43">
        <v>6.08</v>
      </c>
      <c r="H41" s="43">
        <v>143.51</v>
      </c>
      <c r="I41" s="43">
        <v>102.9523</v>
      </c>
      <c r="J41" s="43">
        <v>13.3185</v>
      </c>
      <c r="K41" s="43">
        <v>19.57</v>
      </c>
      <c r="L41" s="43">
        <v>69.5118</v>
      </c>
      <c r="M41" s="43"/>
      <c r="N41" s="43"/>
      <c r="O41" s="43"/>
      <c r="P41" s="44">
        <f>SUM(C41:O41)</f>
        <v>413.5996</v>
      </c>
    </row>
    <row r="42" spans="1:16" customHeight="1" ht="12.75">
      <c r="A42" s="18" t="s">
        <v>85</v>
      </c>
      <c r="B42" s="4" t="s">
        <v>86</v>
      </c>
      <c r="C42" s="43">
        <v>4313.17</v>
      </c>
      <c r="D42" s="43">
        <v>222.26</v>
      </c>
      <c r="E42" s="43">
        <v>219.32</v>
      </c>
      <c r="F42" s="43">
        <v>219.9343</v>
      </c>
      <c r="G42" s="43">
        <v>184.54</v>
      </c>
      <c r="H42" s="43">
        <v>210.75</v>
      </c>
      <c r="I42" s="43">
        <v>220.5549</v>
      </c>
      <c r="J42" s="43">
        <v>224.8569</v>
      </c>
      <c r="K42" s="43">
        <v>214.15</v>
      </c>
      <c r="L42" s="43">
        <v>201.5435</v>
      </c>
      <c r="M42" s="43"/>
      <c r="N42" s="43"/>
      <c r="O42" s="43"/>
      <c r="P42" s="44">
        <f>SUM(C42:O42)</f>
        <v>6231.0796</v>
      </c>
    </row>
    <row r="43" spans="1:16" customHeight="1" ht="12.75">
      <c r="A43" s="18" t="s">
        <v>87</v>
      </c>
      <c r="B43" s="4" t="s">
        <v>88</v>
      </c>
      <c r="C43" s="43">
        <v>3584.56</v>
      </c>
      <c r="D43" s="43">
        <v>213.7</v>
      </c>
      <c r="E43" s="43">
        <v>182.21</v>
      </c>
      <c r="F43" s="43">
        <v>152.83053</v>
      </c>
      <c r="G43" s="43">
        <v>168.96</v>
      </c>
      <c r="H43" s="43">
        <v>157.76</v>
      </c>
      <c r="I43" s="43">
        <v>168.3394</v>
      </c>
      <c r="J43" s="43">
        <v>217.3633</v>
      </c>
      <c r="K43" s="43">
        <v>221.32</v>
      </c>
      <c r="L43" s="43">
        <v>241.3102</v>
      </c>
      <c r="M43" s="43"/>
      <c r="N43" s="43"/>
      <c r="O43" s="43"/>
      <c r="P43" s="44">
        <f>SUM(C43:O43)</f>
        <v>5308.35343</v>
      </c>
    </row>
    <row r="44" spans="1:16" customHeight="1" ht="12.75">
      <c r="A44" s="18" t="s">
        <v>89</v>
      </c>
      <c r="B44" s="4" t="s">
        <v>90</v>
      </c>
      <c r="C44" s="43">
        <v>8293.378</v>
      </c>
      <c r="D44" s="43">
        <v>83.485</v>
      </c>
      <c r="E44" s="43">
        <v>97.365</v>
      </c>
      <c r="F44" s="43">
        <v>97.771</v>
      </c>
      <c r="G44" s="43">
        <v>91.994</v>
      </c>
      <c r="H44" s="43">
        <v>99.518</v>
      </c>
      <c r="I44" s="43">
        <v>55.56</v>
      </c>
      <c r="J44" s="43">
        <v>70.102</v>
      </c>
      <c r="K44" s="43">
        <v>128.884</v>
      </c>
      <c r="L44" s="43">
        <v>62.141</v>
      </c>
      <c r="M44" s="43"/>
      <c r="N44" s="43"/>
      <c r="O44" s="43"/>
      <c r="P44" s="44">
        <f>SUM(C44:O44)</f>
        <v>9080.198</v>
      </c>
    </row>
    <row r="45" spans="1:16" customHeight="1" ht="12.75">
      <c r="A45" s="18" t="s">
        <v>91</v>
      </c>
      <c r="B45" s="4" t="s">
        <v>92</v>
      </c>
      <c r="C45" s="43">
        <v>21822.26587</v>
      </c>
      <c r="D45" s="43">
        <v>1679.10941</v>
      </c>
      <c r="E45" s="43">
        <v>595.91581</v>
      </c>
      <c r="F45" s="43">
        <v>455.9889</v>
      </c>
      <c r="G45" s="43">
        <v>300.81622</v>
      </c>
      <c r="H45" s="43">
        <v>1329.97828</v>
      </c>
      <c r="I45" s="43">
        <v>0.60866</v>
      </c>
      <c r="J45" s="43">
        <v>1045.31118</v>
      </c>
      <c r="K45" s="43">
        <v>607.84996</v>
      </c>
      <c r="L45" s="43">
        <v>1236.39254</v>
      </c>
      <c r="M45" s="43"/>
      <c r="N45" s="43"/>
      <c r="O45" s="43"/>
      <c r="P45" s="44">
        <f>SUM(C45:O45)</f>
        <v>29074.23683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257.44424</v>
      </c>
      <c r="D47" s="43">
        <v>2.0825</v>
      </c>
      <c r="E47" s="43">
        <v>5.079</v>
      </c>
      <c r="F47" s="43">
        <v>3.531</v>
      </c>
      <c r="G47" s="43">
        <v>2.843</v>
      </c>
      <c r="H47" s="43">
        <v>0</v>
      </c>
      <c r="I47" s="43">
        <v>0</v>
      </c>
      <c r="J47" s="43">
        <v>4.259</v>
      </c>
      <c r="K47" s="43">
        <v>4.848</v>
      </c>
      <c r="L47" s="43">
        <v>3.829</v>
      </c>
      <c r="M47" s="43"/>
      <c r="N47" s="43"/>
      <c r="O47" s="43"/>
      <c r="P47" s="44">
        <f>SUM(C47:O47)</f>
        <v>283.91574</v>
      </c>
    </row>
    <row r="48" spans="1:16" customHeight="1" ht="12.75">
      <c r="A48" s="18" t="s">
        <v>97</v>
      </c>
      <c r="B48" s="4" t="s">
        <v>98</v>
      </c>
      <c r="C48" s="43">
        <v>10972.2674</v>
      </c>
      <c r="D48" s="43">
        <v>294.7</v>
      </c>
      <c r="E48" s="43">
        <v>68.9</v>
      </c>
      <c r="F48" s="43">
        <v>527.5618</v>
      </c>
      <c r="G48" s="43">
        <v>442.52</v>
      </c>
      <c r="H48" s="43">
        <v>66.16</v>
      </c>
      <c r="I48" s="43">
        <v>0</v>
      </c>
      <c r="J48" s="43">
        <v>319.04</v>
      </c>
      <c r="K48" s="43">
        <v>126.6</v>
      </c>
      <c r="L48" s="43">
        <v>0</v>
      </c>
      <c r="M48" s="43"/>
      <c r="N48" s="43"/>
      <c r="O48" s="43"/>
      <c r="P48" s="44">
        <f>SUM(C48:O48)</f>
        <v>12817.7492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6068.68805</v>
      </c>
      <c r="D50" s="43">
        <v>433.27</v>
      </c>
      <c r="E50" s="43">
        <v>86.01987</v>
      </c>
      <c r="F50" s="43">
        <v>1178.34822</v>
      </c>
      <c r="G50" s="43">
        <v>24.054</v>
      </c>
      <c r="H50" s="43">
        <v>109.7059</v>
      </c>
      <c r="I50" s="43">
        <v>0</v>
      </c>
      <c r="J50" s="43">
        <v>1486.4993</v>
      </c>
      <c r="K50" s="43">
        <v>51.7</v>
      </c>
      <c r="L50" s="43">
        <v>0.713</v>
      </c>
      <c r="M50" s="43"/>
      <c r="N50" s="43"/>
      <c r="O50" s="43"/>
      <c r="P50" s="44">
        <f>SUM(C50:O50)</f>
        <v>9438.99834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4416.2255</v>
      </c>
      <c r="D54" s="43">
        <v>329.7125</v>
      </c>
      <c r="E54" s="43">
        <v>167.875</v>
      </c>
      <c r="F54" s="43">
        <v>32.2675</v>
      </c>
      <c r="G54" s="43">
        <v>30.94</v>
      </c>
      <c r="H54" s="43">
        <v>39.6875</v>
      </c>
      <c r="I54" s="43">
        <v>0</v>
      </c>
      <c r="J54" s="43">
        <v>283.7825</v>
      </c>
      <c r="K54" s="43">
        <v>30.8775</v>
      </c>
      <c r="L54" s="43">
        <v>0</v>
      </c>
      <c r="M54" s="43"/>
      <c r="N54" s="43"/>
      <c r="O54" s="43"/>
      <c r="P54" s="44">
        <f>SUM(C54:O54)</f>
        <v>5331.368</v>
      </c>
    </row>
    <row r="55" spans="1:16" customHeight="1" ht="12.75">
      <c r="A55" s="18" t="s">
        <v>110</v>
      </c>
      <c r="B55" s="4" t="s">
        <v>111</v>
      </c>
      <c r="C55" s="43">
        <v>2540.1</v>
      </c>
      <c r="D55" s="43">
        <v>0</v>
      </c>
      <c r="E55" s="43">
        <v>77.2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2617.3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5383.05545</v>
      </c>
      <c r="D57" s="43">
        <v>99.065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353.01</v>
      </c>
      <c r="K57" s="43">
        <v>0</v>
      </c>
      <c r="L57" s="43">
        <v>0</v>
      </c>
      <c r="M57" s="43"/>
      <c r="N57" s="43"/>
      <c r="O57" s="43"/>
      <c r="P57" s="44">
        <f>SUM(C57:O57)</f>
        <v>5835.13045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328.3911</v>
      </c>
      <c r="D66" s="43">
        <v>0</v>
      </c>
      <c r="E66" s="43">
        <v>0</v>
      </c>
      <c r="F66" s="43">
        <v>0</v>
      </c>
      <c r="G66" s="43">
        <v>0</v>
      </c>
      <c r="H66" s="43">
        <v>0</v>
      </c>
      <c r="I66" s="43">
        <v>0</v>
      </c>
      <c r="J66" s="43">
        <v>398.14</v>
      </c>
      <c r="K66" s="43">
        <v>0</v>
      </c>
      <c r="L66" s="43">
        <v>0</v>
      </c>
      <c r="M66" s="43"/>
      <c r="N66" s="43"/>
      <c r="O66" s="43"/>
      <c r="P66" s="44">
        <f>SUM(C66:O66)</f>
        <v>726.5311</v>
      </c>
    </row>
    <row r="67" spans="1:16" customHeight="1" ht="12.75">
      <c r="A67" s="18" t="s">
        <v>134</v>
      </c>
      <c r="B67" s="4" t="s">
        <v>135</v>
      </c>
      <c r="C67" s="43">
        <v>7542.4122</v>
      </c>
      <c r="D67" s="43">
        <v>194.0562</v>
      </c>
      <c r="E67" s="43">
        <v>0</v>
      </c>
      <c r="F67" s="43">
        <v>0</v>
      </c>
      <c r="G67" s="43">
        <v>-17.674</v>
      </c>
      <c r="H67" s="43">
        <v>-757.748</v>
      </c>
      <c r="I67" s="43">
        <v>107.184</v>
      </c>
      <c r="J67" s="43">
        <v>-420</v>
      </c>
      <c r="K67" s="43">
        <v>0</v>
      </c>
      <c r="L67" s="43">
        <v>-184</v>
      </c>
      <c r="M67" s="43"/>
      <c r="N67" s="43"/>
      <c r="O67" s="43"/>
      <c r="P67" s="44">
        <f>SUM(C67:O67)</f>
        <v>6464.2304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1107.93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2</v>
      </c>
      <c r="K73" s="43">
        <v>0</v>
      </c>
      <c r="L73" s="43">
        <v>0</v>
      </c>
      <c r="M73" s="43"/>
      <c r="N73" s="43"/>
      <c r="O73" s="43"/>
      <c r="P73" s="44">
        <f>SUM(C73:O73)</f>
        <v>1109.93</v>
      </c>
    </row>
    <row r="74" spans="1:16" customHeight="1" ht="12.75">
      <c r="A74" s="18" t="s">
        <v>147</v>
      </c>
      <c r="B74" s="4" t="s">
        <v>148</v>
      </c>
      <c r="C74" s="43">
        <v>12473.35849</v>
      </c>
      <c r="D74" s="43">
        <v>609.72433</v>
      </c>
      <c r="E74" s="43">
        <v>134.8549</v>
      </c>
      <c r="F74" s="43">
        <v>48.332</v>
      </c>
      <c r="G74" s="43">
        <v>151.055</v>
      </c>
      <c r="H74" s="43">
        <v>96.172</v>
      </c>
      <c r="I74" s="43">
        <v>0</v>
      </c>
      <c r="J74" s="43">
        <v>333.118</v>
      </c>
      <c r="K74" s="43">
        <v>48.32725</v>
      </c>
      <c r="L74" s="43">
        <v>0</v>
      </c>
      <c r="M74" s="43"/>
      <c r="N74" s="43"/>
      <c r="O74" s="43"/>
      <c r="P74" s="44">
        <f>SUM(C74:O74)</f>
        <v>13894.94197</v>
      </c>
    </row>
    <row r="75" spans="1:16" customHeight="1" ht="12.75">
      <c r="A75" s="18" t="s">
        <v>149</v>
      </c>
      <c r="B75" s="4" t="s">
        <v>150</v>
      </c>
      <c r="C75" s="43">
        <v>1266.29599</v>
      </c>
      <c r="D75" s="43">
        <v>134.16728</v>
      </c>
      <c r="E75" s="43">
        <v>33.13458</v>
      </c>
      <c r="F75" s="43">
        <v>44.72687</v>
      </c>
      <c r="G75" s="43">
        <v>83.38015</v>
      </c>
      <c r="H75" s="43">
        <v>29.99352</v>
      </c>
      <c r="I75" s="43">
        <v>0</v>
      </c>
      <c r="J75" s="43">
        <v>150.52722</v>
      </c>
      <c r="K75" s="43">
        <v>31.4596</v>
      </c>
      <c r="L75" s="43">
        <v>0</v>
      </c>
      <c r="M75" s="43"/>
      <c r="N75" s="43"/>
      <c r="O75" s="43"/>
      <c r="P75" s="44">
        <f>SUM(C75:O75)</f>
        <v>1773.68521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61.90196</v>
      </c>
      <c r="D79" s="43">
        <v>1.29577</v>
      </c>
      <c r="E79" s="43">
        <v>1.29577</v>
      </c>
      <c r="F79" s="43">
        <v>1.29576</v>
      </c>
      <c r="G79" s="43">
        <v>1.29577</v>
      </c>
      <c r="H79" s="43">
        <v>1.29577</v>
      </c>
      <c r="I79" s="43">
        <v>1.29577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69.67657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84801.09582</v>
      </c>
      <c r="D83" s="43">
        <v>11775.23</v>
      </c>
      <c r="E83" s="43">
        <v>4296.848</v>
      </c>
      <c r="F83" s="43">
        <v>1120.1</v>
      </c>
      <c r="G83" s="43">
        <v>3683</v>
      </c>
      <c r="H83" s="43">
        <v>753.8</v>
      </c>
      <c r="I83" s="43">
        <v>0</v>
      </c>
      <c r="J83" s="43">
        <v>14091.09075</v>
      </c>
      <c r="K83" s="43">
        <v>1614.5</v>
      </c>
      <c r="L83" s="43">
        <v>0</v>
      </c>
      <c r="M83" s="43"/>
      <c r="N83" s="43"/>
      <c r="O83" s="43"/>
      <c r="P83" s="44">
        <f>SUM(C83:O83)</f>
        <v>122135.66457</v>
      </c>
    </row>
    <row r="84" spans="1:16" customHeight="1" ht="12.75">
      <c r="A84" s="18" t="s">
        <v>166</v>
      </c>
      <c r="B84" s="4" t="s">
        <v>167</v>
      </c>
      <c r="C84" s="43">
        <v>22217.98281</v>
      </c>
      <c r="D84" s="43">
        <v>2426.4244</v>
      </c>
      <c r="E84" s="43">
        <v>5312.20867</v>
      </c>
      <c r="F84" s="43">
        <v>1047.98349</v>
      </c>
      <c r="G84" s="43">
        <v>104.16938</v>
      </c>
      <c r="H84" s="43">
        <v>1277.2</v>
      </c>
      <c r="I84" s="43">
        <v>0</v>
      </c>
      <c r="J84" s="43">
        <v>754.4158</v>
      </c>
      <c r="K84" s="43">
        <v>71.6742</v>
      </c>
      <c r="L84" s="43">
        <v>0</v>
      </c>
      <c r="M84" s="43"/>
      <c r="N84" s="43"/>
      <c r="O84" s="43"/>
      <c r="P84" s="44">
        <f>SUM(C84:O84)</f>
        <v>33212.05875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-12971.48322</v>
      </c>
      <c r="D86" s="43">
        <v>85.254</v>
      </c>
      <c r="E86" s="43">
        <v>45.536</v>
      </c>
      <c r="F86" s="43">
        <v>-6.8036</v>
      </c>
      <c r="G86" s="43">
        <v>2910.763</v>
      </c>
      <c r="H86" s="43">
        <v>5.1191</v>
      </c>
      <c r="I86" s="43">
        <v>14.0438</v>
      </c>
      <c r="J86" s="43">
        <v>-1820.53735</v>
      </c>
      <c r="K86" s="43">
        <v>-130.1285</v>
      </c>
      <c r="L86" s="43">
        <v>12.3327</v>
      </c>
      <c r="M86" s="43"/>
      <c r="N86" s="43"/>
      <c r="O86" s="43"/>
      <c r="P86" s="44">
        <f>SUM(C86:O86)</f>
        <v>-11855.90407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8534.0273</v>
      </c>
      <c r="D91" s="43">
        <v>1890.4127</v>
      </c>
      <c r="E91" s="43">
        <v>271.6</v>
      </c>
      <c r="F91" s="43">
        <v>1063.7795</v>
      </c>
      <c r="G91" s="43">
        <v>1912.025</v>
      </c>
      <c r="H91" s="43">
        <v>140</v>
      </c>
      <c r="I91" s="43">
        <v>0</v>
      </c>
      <c r="J91" s="43">
        <v>1798.6045</v>
      </c>
      <c r="K91" s="43">
        <v>1564.8485</v>
      </c>
      <c r="L91" s="43">
        <v>0</v>
      </c>
      <c r="M91" s="43"/>
      <c r="N91" s="43"/>
      <c r="O91" s="43"/>
      <c r="P91" s="44">
        <f>SUM(C91:O91)</f>
        <v>17175.2975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2251.40822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2251.40822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232083.23518</v>
      </c>
      <c r="D107" s="47">
        <f>SUM(D38:D106)</f>
        <v>21578.05909</v>
      </c>
      <c r="E107" s="47">
        <f>SUM(E38:E106)</f>
        <v>12942.6626</v>
      </c>
      <c r="F107" s="47">
        <f>SUM(F38:F106)</f>
        <v>7177.34757</v>
      </c>
      <c r="G107" s="47">
        <f>SUM(G38:G106)</f>
        <v>11352.19152</v>
      </c>
      <c r="H107" s="47">
        <f>SUM(H38:H106)</f>
        <v>4897.57207</v>
      </c>
      <c r="I107" s="47">
        <f>SUM(I38:I106)</f>
        <v>1842.21163</v>
      </c>
      <c r="J107" s="47">
        <f>SUM(J38:J106)</f>
        <v>20488.3457</v>
      </c>
      <c r="K107" s="47">
        <f>SUM(K38:K106)</f>
        <v>5798.38431</v>
      </c>
      <c r="L107" s="47">
        <f>SUM(L38:L106)</f>
        <v>2776.60884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320936.61851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32456.89482</v>
      </c>
      <c r="D109" s="49">
        <f>D36-D107</f>
        <v>-10916.45909</v>
      </c>
      <c r="E109" s="49">
        <f>E36-E107</f>
        <v>3025.9374</v>
      </c>
      <c r="F109" s="49">
        <f>F36-F107</f>
        <v>3427.15243</v>
      </c>
      <c r="G109" s="49">
        <f>G36-G107</f>
        <v>-923.89152</v>
      </c>
      <c r="H109" s="49">
        <f>H36-H107</f>
        <v>4816.92793</v>
      </c>
      <c r="I109" s="49">
        <f>I36-I107</f>
        <v>7127.84837</v>
      </c>
      <c r="J109" s="49">
        <f>J36-J107</f>
        <v>-10277.3657</v>
      </c>
      <c r="K109" s="49">
        <f>K36-K107</f>
        <v>4560.51569</v>
      </c>
      <c r="L109" s="49">
        <f>L36-L107</f>
        <v>5643.39116</v>
      </c>
      <c r="M109" s="49"/>
      <c r="N109" s="49"/>
      <c r="O109" s="49"/>
      <c r="P109" s="50">
        <f>P36-P107</f>
        <v>38940.95149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-61.90196</v>
      </c>
      <c r="D116" s="43">
        <f>D79*-1</f>
        <v>-1.29577</v>
      </c>
      <c r="E116" s="43">
        <f>E79*-1</f>
        <v>-1.29577</v>
      </c>
      <c r="F116" s="43">
        <f>F79*-1</f>
        <v>-1.29576</v>
      </c>
      <c r="G116" s="43">
        <f>G79*-1</f>
        <v>-1.29577</v>
      </c>
      <c r="H116" s="43">
        <f>H79*-1</f>
        <v>-1.29577</v>
      </c>
      <c r="I116" s="43">
        <f>I79*-1</f>
        <v>-1.29577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-69.67657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-2756.11406941</v>
      </c>
      <c r="D118" s="45">
        <v>-177.04034575</v>
      </c>
      <c r="E118" s="45">
        <v>-179.33316256</v>
      </c>
      <c r="F118" s="45">
        <v>-193.92855353</v>
      </c>
      <c r="G118" s="45">
        <v>-199.40997126</v>
      </c>
      <c r="H118" s="45">
        <v>-209.62555851</v>
      </c>
      <c r="I118" s="45">
        <v>-204.46329863</v>
      </c>
      <c r="J118" s="45">
        <v>-205.49394404</v>
      </c>
      <c r="K118" s="45">
        <v>-220.28454139</v>
      </c>
      <c r="L118" s="45">
        <v>-220.18249177</v>
      </c>
      <c r="M118" s="45"/>
      <c r="N118" s="45"/>
      <c r="O118" s="45"/>
      <c r="P118" s="46">
        <f>SUM(C118:O118)</f>
        <v>-4565.87593685</v>
      </c>
    </row>
    <row r="119" spans="1:16" customHeight="1" ht="12.75">
      <c r="A119" s="20">
        <v>4.3</v>
      </c>
      <c r="B119" s="15" t="s">
        <v>210</v>
      </c>
      <c r="C119" s="47">
        <f>SUM(C111:C118)</f>
        <v>-2818.01602941</v>
      </c>
      <c r="D119" s="47">
        <f>SUM(D111:D118)</f>
        <v>-178.33611575</v>
      </c>
      <c r="E119" s="47">
        <f>SUM(E111:E118)</f>
        <v>-180.62893256</v>
      </c>
      <c r="F119" s="47">
        <f>SUM(F111:F118)</f>
        <v>-195.22431353</v>
      </c>
      <c r="G119" s="47">
        <f>SUM(G111:G118)</f>
        <v>-200.70574126</v>
      </c>
      <c r="H119" s="47">
        <f>SUM(H111:H118)</f>
        <v>-210.92132851</v>
      </c>
      <c r="I119" s="47">
        <f>SUM(I111:I118)</f>
        <v>-205.75906863</v>
      </c>
      <c r="J119" s="47">
        <f>SUM(J111:J118)</f>
        <v>-205.49394404</v>
      </c>
      <c r="K119" s="47">
        <f>SUM(K111:K118)</f>
        <v>-220.28454139</v>
      </c>
      <c r="L119" s="47">
        <f>SUM(L111:L118)</f>
        <v>-220.18249177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-4635.55250685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35274.91084941</v>
      </c>
      <c r="D121" s="49">
        <f>D109-D119</f>
        <v>-10738.12297425</v>
      </c>
      <c r="E121" s="49">
        <f>E109-E119</f>
        <v>3206.56633256</v>
      </c>
      <c r="F121" s="49">
        <f>F109-F119</f>
        <v>3622.37674353</v>
      </c>
      <c r="G121" s="49">
        <f>G109-G119</f>
        <v>-723.18577874</v>
      </c>
      <c r="H121" s="49">
        <f>H109-H119</f>
        <v>5027.84925851</v>
      </c>
      <c r="I121" s="49">
        <f>I109-I119</f>
        <v>7333.60743863</v>
      </c>
      <c r="J121" s="49">
        <f>J109-J119</f>
        <v>-10071.87175596</v>
      </c>
      <c r="K121" s="49">
        <f>K109-K119</f>
        <v>4780.80023139</v>
      </c>
      <c r="L121" s="49">
        <f>L109-L119</f>
        <v>5863.57365177</v>
      </c>
      <c r="M121" s="49"/>
      <c r="N121" s="49"/>
      <c r="O121" s="49"/>
      <c r="P121" s="50">
        <f>P109-P119</f>
        <v>43576.50399685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7766.7033</v>
      </c>
      <c r="D125" s="43">
        <f>(D36-D18-D20-D33)*D124</f>
        <v>318.69</v>
      </c>
      <c r="E125" s="43">
        <f>(E36-E18-E20-E33)*E124</f>
        <v>476.748</v>
      </c>
      <c r="F125" s="43">
        <f>(F36-F18-F20-F33)*F124</f>
        <v>318.135</v>
      </c>
      <c r="G125" s="43">
        <f>(G36-G18-G20-G33)*G124</f>
        <v>625.698</v>
      </c>
      <c r="H125" s="43">
        <f>(H36-H18-H20-H33)*H124</f>
        <v>574.578</v>
      </c>
      <c r="I125" s="43">
        <f>(I36-I18-I20-I33)*I124</f>
        <v>538.2036</v>
      </c>
      <c r="J125" s="43">
        <f>(J36-J18-J20-J33)*J124</f>
        <v>605.7072</v>
      </c>
      <c r="K125" s="43">
        <f>(K36-K18-K20-K33)*K124</f>
        <v>621.534</v>
      </c>
      <c r="L125" s="43">
        <f>(L36-L18-L20-L33)*L124</f>
        <v>460.566</v>
      </c>
      <c r="M125" s="43"/>
      <c r="N125" s="43"/>
      <c r="O125" s="43"/>
      <c r="P125" s="44">
        <f>SUM(C125:O125)</f>
        <v>12306.5631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27508.20754941</v>
      </c>
      <c r="D129" s="51">
        <f>D121-SUM(D125:D126)+IF(ISBLANK(D127), 0, D127)</f>
        <v>-11056.81297425</v>
      </c>
      <c r="E129" s="51">
        <f>E121-SUM(E125:E126)+IF(ISBLANK(E127), 0, E127)</f>
        <v>2729.81833256</v>
      </c>
      <c r="F129" s="51">
        <f>F121-SUM(F125:F126)+IF(ISBLANK(F127), 0, F127)</f>
        <v>3304.24174353</v>
      </c>
      <c r="G129" s="51">
        <f>G121-SUM(G125:G126)+IF(ISBLANK(G127), 0, G127)</f>
        <v>-1348.88377874</v>
      </c>
      <c r="H129" s="51">
        <f>H121-SUM(H125:H126)+IF(ISBLANK(H127), 0, H127)</f>
        <v>4453.27125851</v>
      </c>
      <c r="I129" s="51">
        <f>I121-SUM(I125:I126)+IF(ISBLANK(I127), 0, I127)</f>
        <v>6795.40383863</v>
      </c>
      <c r="J129" s="51">
        <f>J121-SUM(J125:J126)+IF(ISBLANK(J127), 0, J127)</f>
        <v>-10677.57895596</v>
      </c>
      <c r="K129" s="51">
        <f>K121-SUM(K125:K126)+IF(ISBLANK(K127), 0, K127)</f>
        <v>4159.26623139</v>
      </c>
      <c r="L129" s="51">
        <f>L121-SUM(L125:L126)+IF(ISBLANK(L127), 0, L127)</f>
        <v>5403.00765177</v>
      </c>
      <c r="M129" s="51"/>
      <c r="N129" s="51"/>
      <c r="O129" s="51"/>
      <c r="P129" s="52">
        <f>P121-SUM(P125:P126)+IF(ISBLANK(P127), 0, P127)</f>
        <v>31269.94089685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1057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244696.41</v>
      </c>
      <c r="D14" s="43">
        <v>14193.8</v>
      </c>
      <c r="E14" s="43">
        <v>10623.4</v>
      </c>
      <c r="F14" s="43">
        <v>15891.56</v>
      </c>
      <c r="G14" s="43">
        <v>12132.9</v>
      </c>
      <c r="H14" s="43">
        <v>11931.4</v>
      </c>
      <c r="I14" s="43">
        <v>10956.5</v>
      </c>
      <c r="J14" s="43">
        <v>10262.96</v>
      </c>
      <c r="K14" s="43">
        <v>11550.1</v>
      </c>
      <c r="L14" s="43">
        <v>11851.9</v>
      </c>
      <c r="M14" s="43"/>
      <c r="N14" s="43"/>
      <c r="O14" s="43"/>
      <c r="P14" s="44">
        <f>SUM(C14:O14)</f>
        <v>354090.93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5324.42</v>
      </c>
      <c r="D18" s="43">
        <v>326</v>
      </c>
      <c r="E18" s="43">
        <v>38.6</v>
      </c>
      <c r="F18" s="43">
        <v>77</v>
      </c>
      <c r="G18" s="43">
        <v>0</v>
      </c>
      <c r="H18" s="43">
        <v>0</v>
      </c>
      <c r="I18" s="43">
        <v>138.2</v>
      </c>
      <c r="J18" s="43">
        <v>0</v>
      </c>
      <c r="K18" s="43">
        <v>115.86</v>
      </c>
      <c r="L18" s="43">
        <v>0</v>
      </c>
      <c r="M18" s="43"/>
      <c r="N18" s="43"/>
      <c r="O18" s="43"/>
      <c r="P18" s="44">
        <f>SUM(C18:O18)</f>
        <v>6020.08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-1528.4</v>
      </c>
      <c r="H29" s="43">
        <v>-1503.1</v>
      </c>
      <c r="I29" s="43">
        <v>-1380.3</v>
      </c>
      <c r="J29" s="43">
        <v>-1292.88</v>
      </c>
      <c r="K29" s="43">
        <v>-1455</v>
      </c>
      <c r="L29" s="43">
        <v>-1493</v>
      </c>
      <c r="M29" s="43"/>
      <c r="N29" s="43"/>
      <c r="O29" s="43"/>
      <c r="P29" s="44">
        <f>SUM(C29:O29)</f>
        <v>-8652.68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-2447.37</v>
      </c>
      <c r="D32" s="43">
        <v>-141.9</v>
      </c>
      <c r="E32" s="43">
        <v>-106</v>
      </c>
      <c r="F32" s="43">
        <v>-158.92</v>
      </c>
      <c r="G32" s="43">
        <v>-121.3</v>
      </c>
      <c r="H32" s="43">
        <v>-119.3</v>
      </c>
      <c r="I32" s="43">
        <v>-109.6</v>
      </c>
      <c r="J32" s="43">
        <v>-102.63</v>
      </c>
      <c r="K32" s="43">
        <v>-115.5</v>
      </c>
      <c r="L32" s="43">
        <v>-118.5</v>
      </c>
      <c r="M32" s="43"/>
      <c r="N32" s="43"/>
      <c r="O32" s="43"/>
      <c r="P32" s="44">
        <f>SUM(C32:O32)</f>
        <v>-3541.02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247573.46</v>
      </c>
      <c r="D36" s="47">
        <f>SUM(D13:D35)</f>
        <v>14377.9</v>
      </c>
      <c r="E36" s="47">
        <f>SUM(E13:E35)</f>
        <v>10556</v>
      </c>
      <c r="F36" s="47">
        <f>SUM(F13:F35)</f>
        <v>15809.64</v>
      </c>
      <c r="G36" s="47">
        <f>SUM(G13:G35)</f>
        <v>10483.2</v>
      </c>
      <c r="H36" s="47">
        <f>SUM(H13:H35)</f>
        <v>10309</v>
      </c>
      <c r="I36" s="47">
        <f>SUM(I13:I35)</f>
        <v>9604.8</v>
      </c>
      <c r="J36" s="47">
        <f>SUM(J13:J35)</f>
        <v>8867.45</v>
      </c>
      <c r="K36" s="47">
        <f>SUM(K13:K35)</f>
        <v>10095.46</v>
      </c>
      <c r="L36" s="47">
        <f>SUM(L13:L35)</f>
        <v>10240.4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347917.31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36781</v>
      </c>
      <c r="D40" s="43">
        <v>1104.11</v>
      </c>
      <c r="E40" s="43">
        <v>1337.92</v>
      </c>
      <c r="F40" s="43">
        <v>1178.1733</v>
      </c>
      <c r="G40" s="43">
        <v>1271.43</v>
      </c>
      <c r="H40" s="43">
        <v>1194.67</v>
      </c>
      <c r="I40" s="43">
        <v>1171.6728</v>
      </c>
      <c r="J40" s="43">
        <v>1183.4441</v>
      </c>
      <c r="K40" s="43">
        <v>1191.9038</v>
      </c>
      <c r="L40" s="43">
        <v>1132.8351</v>
      </c>
      <c r="M40" s="43"/>
      <c r="N40" s="43"/>
      <c r="O40" s="43"/>
      <c r="P40" s="44">
        <f>SUM(C40:O40)</f>
        <v>47547.1591</v>
      </c>
    </row>
    <row r="41" spans="1:16" customHeight="1" ht="12.75">
      <c r="A41" s="18" t="s">
        <v>83</v>
      </c>
      <c r="B41" s="4" t="s">
        <v>84</v>
      </c>
      <c r="C41" s="43">
        <v>37.75</v>
      </c>
      <c r="D41" s="43">
        <v>0</v>
      </c>
      <c r="E41" s="43">
        <v>9.38</v>
      </c>
      <c r="F41" s="43">
        <v>11.527</v>
      </c>
      <c r="G41" s="43">
        <v>6.08</v>
      </c>
      <c r="H41" s="43">
        <v>143.51</v>
      </c>
      <c r="I41" s="43">
        <v>102.9523</v>
      </c>
      <c r="J41" s="43">
        <v>13.3185</v>
      </c>
      <c r="K41" s="43">
        <v>19.57</v>
      </c>
      <c r="L41" s="43">
        <v>69.5118</v>
      </c>
      <c r="M41" s="43"/>
      <c r="N41" s="43"/>
      <c r="O41" s="43"/>
      <c r="P41" s="44">
        <f>SUM(C41:O41)</f>
        <v>413.5996</v>
      </c>
    </row>
    <row r="42" spans="1:16" customHeight="1" ht="12.75">
      <c r="A42" s="18" t="s">
        <v>85</v>
      </c>
      <c r="B42" s="4" t="s">
        <v>86</v>
      </c>
      <c r="C42" s="43">
        <v>4313.17</v>
      </c>
      <c r="D42" s="43">
        <v>222.26</v>
      </c>
      <c r="E42" s="43">
        <v>219.32</v>
      </c>
      <c r="F42" s="43">
        <v>219.9343</v>
      </c>
      <c r="G42" s="43">
        <v>184.54</v>
      </c>
      <c r="H42" s="43">
        <v>210.75</v>
      </c>
      <c r="I42" s="43">
        <v>220.5549</v>
      </c>
      <c r="J42" s="43">
        <v>224.8569</v>
      </c>
      <c r="K42" s="43">
        <v>214.15</v>
      </c>
      <c r="L42" s="43">
        <v>201.5435</v>
      </c>
      <c r="M42" s="43"/>
      <c r="N42" s="43"/>
      <c r="O42" s="43"/>
      <c r="P42" s="44">
        <f>SUM(C42:O42)</f>
        <v>6231.0796</v>
      </c>
    </row>
    <row r="43" spans="1:16" customHeight="1" ht="12.75">
      <c r="A43" s="18" t="s">
        <v>87</v>
      </c>
      <c r="B43" s="4" t="s">
        <v>88</v>
      </c>
      <c r="C43" s="43">
        <v>3584.56</v>
      </c>
      <c r="D43" s="43">
        <v>213.7</v>
      </c>
      <c r="E43" s="43">
        <v>182.21</v>
      </c>
      <c r="F43" s="43">
        <v>152.83053</v>
      </c>
      <c r="G43" s="43">
        <v>168.96</v>
      </c>
      <c r="H43" s="43">
        <v>157.76</v>
      </c>
      <c r="I43" s="43">
        <v>168.3394</v>
      </c>
      <c r="J43" s="43">
        <v>217.3633</v>
      </c>
      <c r="K43" s="43">
        <v>221.32</v>
      </c>
      <c r="L43" s="43">
        <v>241.3102</v>
      </c>
      <c r="M43" s="43"/>
      <c r="N43" s="43"/>
      <c r="O43" s="43"/>
      <c r="P43" s="44">
        <f>SUM(C43:O43)</f>
        <v>5308.35343</v>
      </c>
    </row>
    <row r="44" spans="1:16" customHeight="1" ht="12.75">
      <c r="A44" s="18" t="s">
        <v>89</v>
      </c>
      <c r="B44" s="4" t="s">
        <v>90</v>
      </c>
      <c r="C44" s="43">
        <v>8263.671</v>
      </c>
      <c r="D44" s="43">
        <v>83.485</v>
      </c>
      <c r="E44" s="43">
        <v>87.365</v>
      </c>
      <c r="F44" s="43">
        <v>97.771</v>
      </c>
      <c r="G44" s="43">
        <v>91.994</v>
      </c>
      <c r="H44" s="43">
        <v>109.518</v>
      </c>
      <c r="I44" s="43">
        <v>55.56</v>
      </c>
      <c r="J44" s="43">
        <v>70.102</v>
      </c>
      <c r="K44" s="43">
        <v>78.614</v>
      </c>
      <c r="L44" s="43">
        <v>96.587</v>
      </c>
      <c r="M44" s="43"/>
      <c r="N44" s="43"/>
      <c r="O44" s="43"/>
      <c r="P44" s="44">
        <f>SUM(C44:O44)</f>
        <v>9034.667</v>
      </c>
    </row>
    <row r="45" spans="1:16" customHeight="1" ht="12.75">
      <c r="A45" s="18" t="s">
        <v>91</v>
      </c>
      <c r="B45" s="4" t="s">
        <v>92</v>
      </c>
      <c r="C45" s="43">
        <v>20242.57306</v>
      </c>
      <c r="D45" s="43">
        <v>1290.95488</v>
      </c>
      <c r="E45" s="43">
        <v>722.57898</v>
      </c>
      <c r="F45" s="43">
        <v>509.24312</v>
      </c>
      <c r="G45" s="43">
        <v>415.46611</v>
      </c>
      <c r="H45" s="43">
        <v>654.36937</v>
      </c>
      <c r="I45" s="43">
        <v>1029.64732</v>
      </c>
      <c r="J45" s="43">
        <v>371.66131</v>
      </c>
      <c r="K45" s="43">
        <v>299.48029</v>
      </c>
      <c r="L45" s="43">
        <v>1600.05125</v>
      </c>
      <c r="M45" s="43"/>
      <c r="N45" s="43"/>
      <c r="O45" s="43"/>
      <c r="P45" s="44">
        <f>SUM(C45:O45)</f>
        <v>27136.02569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252.50714</v>
      </c>
      <c r="D47" s="43">
        <v>4.9371</v>
      </c>
      <c r="E47" s="43">
        <v>7.1615</v>
      </c>
      <c r="F47" s="43">
        <v>0</v>
      </c>
      <c r="G47" s="43">
        <v>0</v>
      </c>
      <c r="H47" s="43">
        <v>3.531</v>
      </c>
      <c r="I47" s="43">
        <v>2.843</v>
      </c>
      <c r="J47" s="43">
        <v>0</v>
      </c>
      <c r="K47" s="43">
        <v>8.259</v>
      </c>
      <c r="L47" s="43">
        <v>0.848</v>
      </c>
      <c r="M47" s="43"/>
      <c r="N47" s="43"/>
      <c r="O47" s="43"/>
      <c r="P47" s="44">
        <f>SUM(C47:O47)</f>
        <v>280.08674</v>
      </c>
    </row>
    <row r="48" spans="1:16" customHeight="1" ht="12.75">
      <c r="A48" s="18" t="s">
        <v>97</v>
      </c>
      <c r="B48" s="4" t="s">
        <v>98</v>
      </c>
      <c r="C48" s="43">
        <v>10765.0674</v>
      </c>
      <c r="D48" s="43">
        <v>147.2</v>
      </c>
      <c r="E48" s="43">
        <v>137.1</v>
      </c>
      <c r="F48" s="43">
        <v>101.6</v>
      </c>
      <c r="G48" s="43">
        <v>124.9</v>
      </c>
      <c r="H48" s="43">
        <v>479.5618</v>
      </c>
      <c r="I48" s="43">
        <v>550.52</v>
      </c>
      <c r="J48" s="43">
        <v>66.16</v>
      </c>
      <c r="K48" s="43">
        <v>131.6</v>
      </c>
      <c r="L48" s="43">
        <v>104.6</v>
      </c>
      <c r="M48" s="43"/>
      <c r="N48" s="43"/>
      <c r="O48" s="43"/>
      <c r="P48" s="44">
        <f>SUM(C48:O48)</f>
        <v>12608.3092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5307.40945</v>
      </c>
      <c r="D50" s="43">
        <v>209.3126</v>
      </c>
      <c r="E50" s="43">
        <v>95.62895</v>
      </c>
      <c r="F50" s="43">
        <v>284.163</v>
      </c>
      <c r="G50" s="43">
        <v>92.5358</v>
      </c>
      <c r="H50" s="43">
        <v>1108.53642</v>
      </c>
      <c r="I50" s="43">
        <v>186.35782</v>
      </c>
      <c r="J50" s="43">
        <v>109.541</v>
      </c>
      <c r="K50" s="43">
        <v>82.9988</v>
      </c>
      <c r="L50" s="43">
        <v>323.377</v>
      </c>
      <c r="M50" s="43"/>
      <c r="N50" s="43"/>
      <c r="O50" s="43"/>
      <c r="P50" s="44">
        <f>SUM(C50:O50)</f>
        <v>7799.86084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4139.2105</v>
      </c>
      <c r="D54" s="43">
        <v>282.6525</v>
      </c>
      <c r="E54" s="43">
        <v>120.35</v>
      </c>
      <c r="F54" s="43">
        <v>271.145</v>
      </c>
      <c r="G54" s="43">
        <v>99.5725</v>
      </c>
      <c r="H54" s="43">
        <v>25.0325</v>
      </c>
      <c r="I54" s="43">
        <v>77.8625</v>
      </c>
      <c r="J54" s="43">
        <v>7.4825</v>
      </c>
      <c r="K54" s="43">
        <v>86.81</v>
      </c>
      <c r="L54" s="43">
        <v>0</v>
      </c>
      <c r="M54" s="43"/>
      <c r="N54" s="43"/>
      <c r="O54" s="43"/>
      <c r="P54" s="44">
        <f>SUM(C54:O54)</f>
        <v>5110.118</v>
      </c>
    </row>
    <row r="55" spans="1:16" customHeight="1" ht="12.75">
      <c r="A55" s="18" t="s">
        <v>110</v>
      </c>
      <c r="B55" s="4" t="s">
        <v>111</v>
      </c>
      <c r="C55" s="43">
        <v>2295.73236</v>
      </c>
      <c r="D55" s="43">
        <v>244.36764</v>
      </c>
      <c r="E55" s="43">
        <v>0</v>
      </c>
      <c r="F55" s="43">
        <v>0</v>
      </c>
      <c r="G55" s="43">
        <v>77.2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/>
      <c r="N55" s="43"/>
      <c r="O55" s="43"/>
      <c r="P55" s="44">
        <f>SUM(C55:O55)</f>
        <v>2617.3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5197.12305</v>
      </c>
      <c r="D57" s="43">
        <v>89.3</v>
      </c>
      <c r="E57" s="43">
        <v>65.1324</v>
      </c>
      <c r="F57" s="43">
        <v>31.5</v>
      </c>
      <c r="G57" s="43">
        <v>99.065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5482.12045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/>
      <c r="N60" s="43"/>
      <c r="O60" s="43"/>
      <c r="P60" s="44">
        <f>SUM(C60:O60)</f>
        <v>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305.413</v>
      </c>
      <c r="D66" s="43">
        <v>0</v>
      </c>
      <c r="E66" s="43">
        <v>0.85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306.263</v>
      </c>
    </row>
    <row r="67" spans="1:16" customHeight="1" ht="12.75">
      <c r="A67" s="18" t="s">
        <v>134</v>
      </c>
      <c r="B67" s="4" t="s">
        <v>135</v>
      </c>
      <c r="C67" s="43">
        <v>8284.4433</v>
      </c>
      <c r="D67" s="43">
        <v>194.0562</v>
      </c>
      <c r="E67" s="43">
        <v>0</v>
      </c>
      <c r="F67" s="43">
        <v>0</v>
      </c>
      <c r="G67" s="43">
        <v>-17.674</v>
      </c>
      <c r="H67" s="43">
        <v>-757.748</v>
      </c>
      <c r="I67" s="43">
        <v>107.184</v>
      </c>
      <c r="J67" s="43">
        <v>-420</v>
      </c>
      <c r="K67" s="43">
        <v>0</v>
      </c>
      <c r="L67" s="43">
        <v>-184</v>
      </c>
      <c r="M67" s="43"/>
      <c r="N67" s="43"/>
      <c r="O67" s="43"/>
      <c r="P67" s="44">
        <f>SUM(C67:O67)</f>
        <v>7206.2615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1107.93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2</v>
      </c>
      <c r="M73" s="43"/>
      <c r="N73" s="43"/>
      <c r="O73" s="43"/>
      <c r="P73" s="44">
        <f>SUM(C73:O73)</f>
        <v>1109.93</v>
      </c>
    </row>
    <row r="74" spans="1:16" customHeight="1" ht="12.75">
      <c r="A74" s="18" t="s">
        <v>147</v>
      </c>
      <c r="B74" s="4" t="s">
        <v>148</v>
      </c>
      <c r="C74" s="43">
        <v>10499.4585</v>
      </c>
      <c r="D74" s="43">
        <v>1051.04407</v>
      </c>
      <c r="E74" s="43">
        <v>556.795</v>
      </c>
      <c r="F74" s="43">
        <v>425.54725</v>
      </c>
      <c r="G74" s="43">
        <v>420.9529</v>
      </c>
      <c r="H74" s="43">
        <v>35.7</v>
      </c>
      <c r="I74" s="43">
        <v>156.932</v>
      </c>
      <c r="J74" s="43">
        <v>200.592</v>
      </c>
      <c r="K74" s="43">
        <v>137.903</v>
      </c>
      <c r="L74" s="43">
        <v>81.86</v>
      </c>
      <c r="M74" s="43"/>
      <c r="N74" s="43"/>
      <c r="O74" s="43"/>
      <c r="P74" s="44">
        <f>SUM(C74:O74)</f>
        <v>13566.78472</v>
      </c>
    </row>
    <row r="75" spans="1:16" customHeight="1" ht="12.75">
      <c r="A75" s="18" t="s">
        <v>149</v>
      </c>
      <c r="B75" s="4" t="s">
        <v>150</v>
      </c>
      <c r="C75" s="43">
        <v>1187.19823</v>
      </c>
      <c r="D75" s="43">
        <v>17.8645</v>
      </c>
      <c r="E75" s="43">
        <v>55.91848</v>
      </c>
      <c r="F75" s="43">
        <v>111.64338</v>
      </c>
      <c r="G75" s="43">
        <v>44.72687</v>
      </c>
      <c r="H75" s="43">
        <v>34.20785</v>
      </c>
      <c r="I75" s="43">
        <v>55.44132</v>
      </c>
      <c r="J75" s="43">
        <v>133.47603</v>
      </c>
      <c r="K75" s="43">
        <v>31.86709</v>
      </c>
      <c r="L75" s="43">
        <v>25.72825</v>
      </c>
      <c r="M75" s="43"/>
      <c r="N75" s="43"/>
      <c r="O75" s="43"/>
      <c r="P75" s="44">
        <f>SUM(C75:O75)</f>
        <v>1698.072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61.90196</v>
      </c>
      <c r="D79" s="43">
        <v>1.29577</v>
      </c>
      <c r="E79" s="43">
        <v>1.29577</v>
      </c>
      <c r="F79" s="43">
        <v>1.29576</v>
      </c>
      <c r="G79" s="43">
        <v>1.29577</v>
      </c>
      <c r="H79" s="43">
        <v>1.29577</v>
      </c>
      <c r="I79" s="43">
        <v>1.29577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69.67657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74687.84835</v>
      </c>
      <c r="D83" s="43">
        <v>3564.44747</v>
      </c>
      <c r="E83" s="43">
        <v>3204.65</v>
      </c>
      <c r="F83" s="43">
        <v>5850.28</v>
      </c>
      <c r="G83" s="43">
        <v>3754.06573</v>
      </c>
      <c r="H83" s="43">
        <v>2231.17413</v>
      </c>
      <c r="I83" s="43">
        <v>4965.80803</v>
      </c>
      <c r="J83" s="43">
        <v>4738.56495</v>
      </c>
      <c r="K83" s="43">
        <v>3038.80591</v>
      </c>
      <c r="L83" s="43">
        <v>4239.90216</v>
      </c>
      <c r="M83" s="43"/>
      <c r="N83" s="43"/>
      <c r="O83" s="43"/>
      <c r="P83" s="44">
        <f>SUM(C83:O83)</f>
        <v>110275.54673</v>
      </c>
    </row>
    <row r="84" spans="1:16" customHeight="1" ht="12.75">
      <c r="A84" s="18" t="s">
        <v>166</v>
      </c>
      <c r="B84" s="4" t="s">
        <v>167</v>
      </c>
      <c r="C84" s="43">
        <v>19538.14711</v>
      </c>
      <c r="D84" s="43">
        <v>589.5297</v>
      </c>
      <c r="E84" s="43">
        <v>1521.9163</v>
      </c>
      <c r="F84" s="43">
        <v>1880.59168</v>
      </c>
      <c r="G84" s="43">
        <v>615.30509</v>
      </c>
      <c r="H84" s="43">
        <v>1966.75043</v>
      </c>
      <c r="I84" s="43">
        <v>1960.54072</v>
      </c>
      <c r="J84" s="43">
        <v>1586.66621</v>
      </c>
      <c r="K84" s="43">
        <v>809.77444</v>
      </c>
      <c r="L84" s="43">
        <v>1227.57128</v>
      </c>
      <c r="M84" s="43"/>
      <c r="N84" s="43"/>
      <c r="O84" s="43"/>
      <c r="P84" s="44">
        <f>SUM(C84:O84)</f>
        <v>31696.79296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-10161.49813</v>
      </c>
      <c r="D86" s="43">
        <v>85.78004</v>
      </c>
      <c r="E86" s="43">
        <v>41.42509</v>
      </c>
      <c r="F86" s="43">
        <v>1.3925</v>
      </c>
      <c r="G86" s="43">
        <v>1.7466</v>
      </c>
      <c r="H86" s="43">
        <v>1.3401</v>
      </c>
      <c r="I86" s="43">
        <v>14.0438</v>
      </c>
      <c r="J86" s="43">
        <v>-89.36155</v>
      </c>
      <c r="K86" s="43">
        <v>-3.15533</v>
      </c>
      <c r="L86" s="43">
        <v>-196.73317</v>
      </c>
      <c r="M86" s="43"/>
      <c r="N86" s="43"/>
      <c r="O86" s="43"/>
      <c r="P86" s="44">
        <f>SUM(C86:O86)</f>
        <v>-10305.02005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-8015.90719</v>
      </c>
      <c r="D88" s="43">
        <v>-407.77896</v>
      </c>
      <c r="E88" s="43">
        <v>-525.57587</v>
      </c>
      <c r="F88" s="43">
        <v>-942.82795</v>
      </c>
      <c r="G88" s="43">
        <v>-608.683</v>
      </c>
      <c r="H88" s="43">
        <v>-199.01191</v>
      </c>
      <c r="I88" s="43">
        <v>-437.11892</v>
      </c>
      <c r="J88" s="43">
        <v>-181.82025</v>
      </c>
      <c r="K88" s="43">
        <v>-235.94376</v>
      </c>
      <c r="L88" s="43">
        <v>-401.16958</v>
      </c>
      <c r="M88" s="43"/>
      <c r="N88" s="43"/>
      <c r="O88" s="43"/>
      <c r="P88" s="44">
        <f>SUM(C88:O88)</f>
        <v>-11955.83739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4232.22457</v>
      </c>
      <c r="D91" s="43">
        <v>445.10023</v>
      </c>
      <c r="E91" s="43">
        <v>2027.11648</v>
      </c>
      <c r="F91" s="43">
        <v>1829.58602</v>
      </c>
      <c r="G91" s="43">
        <v>1890.4127</v>
      </c>
      <c r="H91" s="43">
        <v>38.47734</v>
      </c>
      <c r="I91" s="43">
        <v>96.23094</v>
      </c>
      <c r="J91" s="43">
        <v>60.4644</v>
      </c>
      <c r="K91" s="43">
        <v>38.47734</v>
      </c>
      <c r="L91" s="43">
        <v>1304.92966</v>
      </c>
      <c r="M91" s="43"/>
      <c r="N91" s="43"/>
      <c r="O91" s="43"/>
      <c r="P91" s="44">
        <f>SUM(C91:O91)</f>
        <v>11963.01968</v>
      </c>
    </row>
    <row r="92" spans="1:16" customHeight="1" ht="12.75">
      <c r="A92" s="18">
        <v>2.5</v>
      </c>
      <c r="B92" s="4" t="s">
        <v>182</v>
      </c>
      <c r="C92" s="43">
        <v>0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/>
      <c r="N92" s="43"/>
      <c r="O92" s="43"/>
      <c r="P92" s="44">
        <f>SUM(C92:O92)</f>
        <v>0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2251.40822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2251.40822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205158.34188</v>
      </c>
      <c r="D107" s="47">
        <f>SUM(D38:D106)</f>
        <v>9433.61874</v>
      </c>
      <c r="E107" s="47">
        <f>SUM(E38:E106)</f>
        <v>9868.53808</v>
      </c>
      <c r="F107" s="47">
        <f>SUM(F38:F106)</f>
        <v>12015.39589</v>
      </c>
      <c r="G107" s="47">
        <f>SUM(G38:G106)</f>
        <v>8733.89207</v>
      </c>
      <c r="H107" s="47">
        <f>SUM(H38:H106)</f>
        <v>7439.4248</v>
      </c>
      <c r="I107" s="47">
        <f>SUM(I38:I106)</f>
        <v>10486.6677</v>
      </c>
      <c r="J107" s="47">
        <f>SUM(J38:J106)</f>
        <v>8292.5114</v>
      </c>
      <c r="K107" s="47">
        <f>SUM(K38:K106)</f>
        <v>6152.43458</v>
      </c>
      <c r="L107" s="47">
        <f>SUM(L38:L106)</f>
        <v>9870.75245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287451.57759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42415.11812</v>
      </c>
      <c r="D109" s="49">
        <f>D36-D107</f>
        <v>4944.28126</v>
      </c>
      <c r="E109" s="49">
        <f>E36-E107</f>
        <v>687.46192</v>
      </c>
      <c r="F109" s="49">
        <f>F36-F107</f>
        <v>3794.24411</v>
      </c>
      <c r="G109" s="49">
        <f>G36-G107</f>
        <v>1749.30793</v>
      </c>
      <c r="H109" s="49">
        <f>H36-H107</f>
        <v>2869.5752</v>
      </c>
      <c r="I109" s="49">
        <f>I36-I107</f>
        <v>-881.8677</v>
      </c>
      <c r="J109" s="49">
        <f>J36-J107</f>
        <v>574.9386</v>
      </c>
      <c r="K109" s="49">
        <f>K36-K107</f>
        <v>3943.02542</v>
      </c>
      <c r="L109" s="49">
        <f>L36-L107</f>
        <v>369.64755</v>
      </c>
      <c r="M109" s="49"/>
      <c r="N109" s="49"/>
      <c r="O109" s="49"/>
      <c r="P109" s="50">
        <f>P36-P107</f>
        <v>60465.73241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-61.90196</v>
      </c>
      <c r="D116" s="43">
        <f>D79*-1</f>
        <v>-1.29577</v>
      </c>
      <c r="E116" s="43">
        <f>E79*-1</f>
        <v>-1.29577</v>
      </c>
      <c r="F116" s="43">
        <f>F79*-1</f>
        <v>-1.29576</v>
      </c>
      <c r="G116" s="43">
        <f>G79*-1</f>
        <v>-1.29577</v>
      </c>
      <c r="H116" s="43">
        <f>H79*-1</f>
        <v>-1.29577</v>
      </c>
      <c r="I116" s="43">
        <f>I79*-1</f>
        <v>-1.29577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-69.67657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-2756.11406941</v>
      </c>
      <c r="D118" s="45">
        <f>(D109-SUM(D111:D116)-D125-D126+D127)*-0.05/12</f>
        <v>-177.04034574754</v>
      </c>
      <c r="E118" s="45">
        <f>(E109-SUM(E111:E116)-E125-E126+E127)*-0.05/12</f>
        <v>-179.33316256316</v>
      </c>
      <c r="F118" s="45">
        <f>(F109-SUM(F111:F116)-F125-F126+F127)*-0.05/12</f>
        <v>-193.92855353217</v>
      </c>
      <c r="G118" s="45">
        <f>(G109-SUM(G111:G116)-G125-G126+G127)*-0.05/12</f>
        <v>-199.40997125522</v>
      </c>
      <c r="H118" s="45">
        <f>(H109-SUM(H111:H116)-H125-H126+H127)*-0.05/12</f>
        <v>-209.62555851045</v>
      </c>
      <c r="I118" s="45">
        <f>(I109-SUM(I111:I116)-I125-I126+I127)*-0.05/12</f>
        <v>-204.46329862924</v>
      </c>
      <c r="J118" s="45">
        <f>(J109-SUM(J111:J116)-J125-J126+J127)*-0.05/12</f>
        <v>-205.4939440402</v>
      </c>
      <c r="K118" s="45">
        <f>(K109-SUM(K111:K116)-K125-K126+K127)*-0.05/12</f>
        <v>-220.28454139037</v>
      </c>
      <c r="L118" s="45">
        <f>(L109-SUM(L111:L116)-L125-L126+L127)*-0.05/12</f>
        <v>-220.18249177116</v>
      </c>
      <c r="M118" s="45"/>
      <c r="N118" s="45"/>
      <c r="O118" s="45"/>
      <c r="P118" s="46">
        <f>SUM(C118:O118)</f>
        <v>-4565.8759368495</v>
      </c>
    </row>
    <row r="119" spans="1:16" customHeight="1" ht="12.75">
      <c r="A119" s="20">
        <v>4.3</v>
      </c>
      <c r="B119" s="15" t="s">
        <v>210</v>
      </c>
      <c r="C119" s="47">
        <f>SUM(C111:C118)</f>
        <v>-2818.01602941</v>
      </c>
      <c r="D119" s="47">
        <f>SUM(D111:D118)</f>
        <v>-178.33611574754</v>
      </c>
      <c r="E119" s="47">
        <f>SUM(E111:E118)</f>
        <v>-180.62893256316</v>
      </c>
      <c r="F119" s="47">
        <f>SUM(F111:F118)</f>
        <v>-195.22431353217</v>
      </c>
      <c r="G119" s="47">
        <f>SUM(G111:G118)</f>
        <v>-200.70574125522</v>
      </c>
      <c r="H119" s="47">
        <f>SUM(H111:H118)</f>
        <v>-210.92132851045</v>
      </c>
      <c r="I119" s="47">
        <f>SUM(I111:I118)</f>
        <v>-205.75906862924</v>
      </c>
      <c r="J119" s="47">
        <f>SUM(J111:J118)</f>
        <v>-205.4939440402</v>
      </c>
      <c r="K119" s="47">
        <f>SUM(K111:K118)</f>
        <v>-220.28454139037</v>
      </c>
      <c r="L119" s="47">
        <f>SUM(L111:L118)</f>
        <v>-220.18249177116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-4635.5525068495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45233.13414941</v>
      </c>
      <c r="D121" s="49">
        <f>D109-D119</f>
        <v>5122.6173757475</v>
      </c>
      <c r="E121" s="49">
        <f>E109-E119</f>
        <v>868.09085256316</v>
      </c>
      <c r="F121" s="49">
        <f>F109-F119</f>
        <v>3989.4684235322</v>
      </c>
      <c r="G121" s="49">
        <f>G109-G119</f>
        <v>1950.0136712552</v>
      </c>
      <c r="H121" s="49">
        <f>H109-H119</f>
        <v>3080.4965285105</v>
      </c>
      <c r="I121" s="49">
        <f>I109-I119</f>
        <v>-676.10863137075</v>
      </c>
      <c r="J121" s="49">
        <f>J109-J119</f>
        <v>780.4325440402</v>
      </c>
      <c r="K121" s="49">
        <f>K109-K119</f>
        <v>4163.3099613904</v>
      </c>
      <c r="L121" s="49">
        <f>L109-L119</f>
        <v>589.83004177116</v>
      </c>
      <c r="M121" s="49"/>
      <c r="N121" s="49"/>
      <c r="O121" s="49"/>
      <c r="P121" s="50">
        <f>P109-P119</f>
        <v>65101.28491685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7267.4712</v>
      </c>
      <c r="D125" s="43">
        <f>(D36-D18-D20-D33)*D124</f>
        <v>421.557</v>
      </c>
      <c r="E125" s="43">
        <f>(E36-E18-E20-E33)*E124</f>
        <v>315.522</v>
      </c>
      <c r="F125" s="43">
        <f>(F36-F18-F20-F33)*F124</f>
        <v>471.9792</v>
      </c>
      <c r="G125" s="43">
        <f>(G36-G18-G20-G33)*G124</f>
        <v>628.992</v>
      </c>
      <c r="H125" s="43">
        <f>(H36-H18-H20-H33)*H124</f>
        <v>618.54</v>
      </c>
      <c r="I125" s="43">
        <f>(I36-I18-I20-I33)*I124</f>
        <v>567.996</v>
      </c>
      <c r="J125" s="43">
        <f>(J36-J18-J20-J33)*J124</f>
        <v>532.047</v>
      </c>
      <c r="K125" s="43">
        <f>(K36-K18-K20-K33)*K124</f>
        <v>598.776</v>
      </c>
      <c r="L125" s="43">
        <f>(L36-L18-L20-L33)*L124</f>
        <v>614.424</v>
      </c>
      <c r="M125" s="43"/>
      <c r="N125" s="43"/>
      <c r="O125" s="43"/>
      <c r="P125" s="44">
        <f>SUM(C125:O125)</f>
        <v>12037.3044</v>
      </c>
    </row>
    <row r="126" spans="1:16" customHeight="1" ht="12.75">
      <c r="A126" s="18" t="s">
        <v>216</v>
      </c>
      <c r="B126" s="4" t="s">
        <v>217</v>
      </c>
      <c r="C126" s="43">
        <f>(C36-C18-C20-C33)*0.000000</f>
        <v>0</v>
      </c>
      <c r="D126" s="43">
        <f>(D36-D18-D20-D33)*0.000000</f>
        <v>0</v>
      </c>
      <c r="E126" s="43">
        <f>(E36-E18-E20-E33)*0.000000</f>
        <v>0</v>
      </c>
      <c r="F126" s="43">
        <f>(F36-F18-F20-F33)*0.000000</f>
        <v>0</v>
      </c>
      <c r="G126" s="43">
        <f>(G36-G18-G20-G33)*0.000000</f>
        <v>0</v>
      </c>
      <c r="H126" s="43">
        <f>(H36-H18-H20-H33)*0.000000</f>
        <v>0</v>
      </c>
      <c r="I126" s="43">
        <f>(I36-I18-I20-I33)*0.000000</f>
        <v>0</v>
      </c>
      <c r="J126" s="43">
        <f>(J36-J18-J20-J33)*0.000000</f>
        <v>0</v>
      </c>
      <c r="K126" s="43">
        <f>(K36-K18-K20-K33)*0.000000</f>
        <v>0</v>
      </c>
      <c r="L126" s="43">
        <f>(L36-L18-L20-L33)*0.000000</f>
        <v>0</v>
      </c>
      <c r="M126" s="43"/>
      <c r="N126" s="43"/>
      <c r="O126" s="43"/>
      <c r="P126" s="44">
        <f>(P36-P18-P20-P33)*0.000000</f>
        <v>0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37965.66294941</v>
      </c>
      <c r="E127" s="43">
        <f>D129</f>
        <v>42666.723325158</v>
      </c>
      <c r="F127" s="43">
        <f>E129</f>
        <v>43219.292177721</v>
      </c>
      <c r="G127" s="43">
        <f>F129</f>
        <v>46736.781401253</v>
      </c>
      <c r="H127" s="43">
        <f>G129</f>
        <v>48057.803072508</v>
      </c>
      <c r="I127" s="43">
        <f>H129</f>
        <v>50519.759601019</v>
      </c>
      <c r="J127" s="43">
        <f>I129</f>
        <v>49275.654969648</v>
      </c>
      <c r="K127" s="43">
        <f>J129</f>
        <v>49524.040513688</v>
      </c>
      <c r="L127" s="43">
        <f>K129</f>
        <v>53088.574475078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37965.66294941</v>
      </c>
      <c r="D129" s="51">
        <f>D121-SUM(D125:D126)+IF(ISBLANK(D127), 0, D127)</f>
        <v>42666.723325158</v>
      </c>
      <c r="E129" s="51">
        <f>E121-SUM(E125:E126)+IF(ISBLANK(E127), 0, E127)</f>
        <v>43219.292177721</v>
      </c>
      <c r="F129" s="51">
        <f>F121-SUM(F125:F126)+IF(ISBLANK(F127), 0, F127)</f>
        <v>46736.781401253</v>
      </c>
      <c r="G129" s="51">
        <f>G121-SUM(G125:G126)+IF(ISBLANK(G127), 0, G127)</f>
        <v>48057.803072508</v>
      </c>
      <c r="H129" s="51">
        <f>H121-SUM(H125:H126)+IF(ISBLANK(H127), 0, H127)</f>
        <v>50519.759601019</v>
      </c>
      <c r="I129" s="51">
        <f>I121-SUM(I125:I126)+IF(ISBLANK(I127), 0, I127)</f>
        <v>49275.654969648</v>
      </c>
      <c r="J129" s="51">
        <f>J121-SUM(J125:J126)+IF(ISBLANK(J127), 0, J127)</f>
        <v>49524.040513688</v>
      </c>
      <c r="K129" s="51">
        <f>K121-SUM(K125:K126)+IF(ISBLANK(K127), 0, K127)</f>
        <v>53088.574475078</v>
      </c>
      <c r="L129" s="51">
        <f>L121-SUM(L125:L126)+IF(ISBLANK(L127), 0, L127)</f>
        <v>53063.98051685</v>
      </c>
      <c r="M129" s="51"/>
      <c r="N129" s="51"/>
      <c r="O129" s="51"/>
      <c r="P129" s="52">
        <f>P121-SUM(P125:P126)+IF(ISBLANK(P127), 0, P127)</f>
        <v>53063.98051685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