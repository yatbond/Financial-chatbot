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<sst xmlns="http://schemas.openxmlformats.org/spreadsheetml/2006/main" uniqueCount="237">
  <si>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Chun Wo Construction &amp; Engineering Company Limited</t>
  </si>
  <si>
    <t>Print Date: 2026-01-09</t>
  </si>
  <si>
    <t>Project Code:</t>
  </si>
  <si>
    <t>Project Name:</t>
  </si>
  <si>
    <t>Subcontract for the Engineering, Procurement and construction of SENT Landfill Extension</t>
  </si>
  <si>
    <t>Report Date:</t>
  </si>
  <si>
    <t>2025-12-31</t>
  </si>
  <si>
    <t>Start Date:</t>
  </si>
  <si>
    <t>2018-04-30</t>
  </si>
  <si>
    <t>Monthly Financial Report</t>
  </si>
  <si>
    <t>Complete Date:</t>
  </si>
  <si>
    <t>2021-07-07                                Time Consumed (%):</t>
  </si>
  <si>
    <t>Confidential</t>
  </si>
  <si>
    <t>Target Complete Date:</t>
  </si>
  <si>
    <t>2021-11-20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</si>
  <si>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</si>
  <si>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</si>
  <si>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</si>
  <si>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</si>
  <si>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</si>
  <si>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</si>
  <si>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</si>
  <si>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</si>
  <si>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</si>
  <si>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</si>
  <si>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</si>
  <si>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</si>
  <si>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</si>
  <si>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</si>
  <si>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</si>
  <si>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</si>
  <si>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</si>
  <si>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</si>
  <si>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</si>
  <si>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</si>
  <si>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</si>
  <si>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</si>
  <si>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</si>
  <si>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</si>
  <si>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</si>
  <si>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</si>
  <si>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</si>
  <si>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</si>
  <si>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</si>
  <si>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</si>
  <si>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</si>
  <si>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</si>
  <si>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</si>
  <si>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</si>
  <si>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</si>
  <si>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</si>
  <si>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</si>
  <si>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</si>
  <si>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</si>
  <si>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</si>
  <si>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</si>
  <si>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</si>
  <si>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</si>
  <si>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</si>
  <si>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</si>
  <si>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</si>
  <si>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</si>
  <si>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</si>
  <si>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</si>
  <si>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</si>
  <si>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</si>
  <si>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</si>
  <si>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</si>
  <si>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</si>
  <si>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</si>
  <si>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</si>
  <si>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</si>
  <si>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</si>
  <si>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</si>
  <si>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</si>
  <si>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</si>
  <si>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</si>
  <si>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</si>
  <si>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</si>
  <si>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</si>
  <si>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</si>
  <si>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</si>
  <si>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</si>
  <si>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</si>
  <si>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</si>
  <si>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</si>
  <si>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</si>
  <si>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</si>
  <si>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</si>
  <si>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</si>
  <si>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</si>
  <si>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</si>
  <si>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</si>
  <si>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</si>
  <si>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</si>
  <si>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</si>
  <si>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</si>
  <si>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</si>
  <si>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</si>
  <si>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</si>
  <si>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</si>
  <si>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</si>
  <si>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</si>
  <si>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</si>
  <si>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</si>
  <si>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</si>
  <si>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</si>
  <si>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</si>
  <si>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</si>
  <si>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</si>
  <si>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</si>
  <si>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</si>
  <si>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</si>
  <si>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</si>
  <si>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</si>
  <si>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</si>
  <si>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</si>
  <si>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</si>
  <si>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</si>
  <si>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</si>
  <si>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</si>
  <si>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</si>
  <si>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</si>
  <si>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</si>
  <si>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</si>
  <si>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</si>
  <si>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</si>
  <si>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</si>
  <si>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</si>
  <si>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</si>
  <si>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</si>
  <si>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</si>
  <si>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</si>
  <si>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</si>
  <si>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</si>
  <si>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</si>
  <si>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</si>
  <si>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</si>
  <si>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</si>
  <si>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</si>
  <si>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</si>
  <si>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</si>
  <si>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</si>
  <si>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</si>
  <si>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</si>
  <si>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</si>
  <si>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</si>
  <si>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</si>
  <si>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</si>
  <si>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</si>
  <si>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</si>
  <si>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</si>
  <si>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</si>
  <si>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</si>
  <si>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</si>
  <si>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</si>
  <si>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</si>
  <si>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</si>
  <si>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</si>
  <si>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</si>
  <si>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</si>
  <si>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</si>
  <si>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</si>
  <si>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</si>
  <si>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</si>
  <si>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</si>
  <si>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</si>
  <si>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</si>
  <si>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</si>
  <si>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</si>
  <si>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</si>
  <si>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</si>
  <si>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</si>
  <si>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</si>
  <si>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</si>
  <si>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</si>
  <si>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</si>
  <si>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</si>
  <si>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</si>
  <si>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</si>
  <si>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</si>
  <si>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</si>
  <si>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</si>
  <si>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</si>
  <si>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</si>
  <si>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</si>
  <si>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</si>
  <si>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</si>
  <si>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</si>
  <si>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</si>
  <si>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</si>
  <si>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</si>
  <si>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</si>
  <si>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</si>
  <si>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</si>
  <si>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</si>
  <si>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</si>
  <si>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</si>
  <si>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</si>
  <si>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</si>
  <si>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</si>
  <si>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</si>
  <si>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</si>
  <si>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</si>
  <si>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</si>
  <si>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</si>
  <si>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</si>
  <si>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</si>
  <si>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</si>
  <si>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</si>
  <si>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</si>
  <si>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</si>
  <si>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</si>
  <si>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</si>
  <si>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</si>
  <si>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</si>
  <si>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</si>
  <si>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(2.0000%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</si>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</sst>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951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518634.3</v>
      </c>
      <c r="D17" s="43">
        <v>504711.24</v>
      </c>
      <c r="E17" s="43">
        <v>8472</v>
      </c>
      <c r="F17" s="43">
        <f>D17+E17</f>
        <v>513183.24</v>
      </c>
      <c r="G17" s="43">
        <v>481117.52688</v>
      </c>
      <c r="H17" s="43">
        <v>481117.52688</v>
      </c>
      <c r="I17" s="43">
        <f>IF(H17="", "", J17-H17)</f>
        <v>0</v>
      </c>
      <c r="J17" s="43">
        <f>IF(ISBLANK(Projection!P14), "", Projection!P14)</f>
        <v>481117.52688</v>
      </c>
      <c r="K17" s="43">
        <f>IF(ISBLANK('Committed Cost'!P14), "", 'Committed Cost'!P14)</f>
        <v>481117.52688</v>
      </c>
      <c r="L17" s="37">
        <f>IFERROR(IF(ISBLANK(F17), "", K17/F17), 0)</f>
        <v>0.9375160554347</v>
      </c>
      <c r="M17" s="43">
        <f>IF(F17="", "", F17-K17)</f>
        <v>32065.71312</v>
      </c>
      <c r="N17" s="43">
        <f>IF(ISBLANK(Accrual!P14), "", Accrual!P14)</f>
        <v>481118.29</v>
      </c>
      <c r="O17" s="43">
        <f>IF(ISBLANK('Cash Flow'!P14), "",'Cash Flow'!P14)</f>
        <v>481117.47</v>
      </c>
      <c r="P17" s="37">
        <f>IFERROR(IF(O17="", "", O17/K17), 0)</f>
        <v>0.99999988177525</v>
      </c>
      <c r="Q17" s="44">
        <f>IF(K17="", "", K17-O17)</f>
        <v>0.056880000047386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0</v>
      </c>
      <c r="D19" s="43">
        <v>9036.8</v>
      </c>
      <c r="E19" s="43">
        <v>12556.74</v>
      </c>
      <c r="F19" s="43">
        <f>D19+E19</f>
        <v>21593.54</v>
      </c>
      <c r="G19" s="43">
        <v>-8249.65169</v>
      </c>
      <c r="H19" s="43">
        <v>-8249.65169</v>
      </c>
      <c r="I19" s="43">
        <f>IF(H19="", "", J19-H19)</f>
        <v>0</v>
      </c>
      <c r="J19" s="43">
        <f>IF(ISBLANK(Projection!P16), "", Projection!P16)</f>
        <v>-8249.65169</v>
      </c>
      <c r="K19" s="43">
        <f>IF(ISBLANK('Committed Cost'!P16), "", 'Committed Cost'!P16)</f>
        <v>-8249.65169</v>
      </c>
      <c r="L19" s="37">
        <f>IFERROR(IF(ISBLANK(F19), "", K19/F19), 0)</f>
        <v>-0.38204257801176</v>
      </c>
      <c r="M19" s="43">
        <f>IF(F19="", "", F19-K19)</f>
        <v>29843.19169</v>
      </c>
      <c r="N19" s="43">
        <f>IF(ISBLANK(Accrual!P16), "", Accrual!P16)</f>
        <v>-8250.47</v>
      </c>
      <c r="O19" s="43">
        <f>IF(ISBLANK('Cash Flow'!P16), "",'Cash Flow'!P16)</f>
        <v>-8249.65</v>
      </c>
      <c r="P19" s="37">
        <f>IFERROR(IF(O19="", "", O19/K19), 0)</f>
        <v>0.99999979514287</v>
      </c>
      <c r="Q19" s="44">
        <f>IF(K19="", "", K19-O19)</f>
        <v>-0.0016900000009628</v>
      </c>
    </row>
    <row r="20" spans="1:18" customHeight="1" ht="12.75" hidden="true">
      <c r="A20" s="18" t="s">
        <v>54</v>
      </c>
      <c r="B20" s="4" t="s">
        <v>55</v>
      </c>
      <c r="C20" s="43">
        <v>0</v>
      </c>
      <c r="D20" s="43">
        <v>0</v>
      </c>
      <c r="E20" s="43">
        <v>0</v>
      </c>
      <c r="F20" s="43">
        <f>D20+E20</f>
        <v>0</v>
      </c>
      <c r="G20" s="43">
        <v>0</v>
      </c>
      <c r="H20" s="43">
        <v>0</v>
      </c>
      <c r="I20" s="43">
        <f>IF(H20="", "", J20-H20)</f>
        <v>0</v>
      </c>
      <c r="J20" s="43">
        <f>IF(ISBLANK(Projection!P17), "", Projection!P17)</f>
        <v>0</v>
      </c>
      <c r="K20" s="43">
        <f>IF(ISBLANK('Committed Cost'!P17), "", 'Committed Cost'!P17)</f>
        <v>0</v>
      </c>
      <c r="L20" s="37">
        <f>IFERROR(IF(ISBLANK(F20), "", K20/F20), 0)</f>
        <v>0</v>
      </c>
      <c r="M20" s="43">
        <f>IF(F20="", "", F20-K20)</f>
        <v>0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0</v>
      </c>
    </row>
    <row r="21" spans="1:18" customHeight="1" ht="12.75" hidden="true">
      <c r="A21" s="18">
        <v>1.3</v>
      </c>
      <c r="B21" s="4" t="s">
        <v>56</v>
      </c>
      <c r="C21" s="43">
        <v>0</v>
      </c>
      <c r="D21" s="43">
        <v>0</v>
      </c>
      <c r="E21" s="43">
        <v>0</v>
      </c>
      <c r="F21" s="43">
        <f>D21+E21</f>
        <v>0</v>
      </c>
      <c r="G21" s="43">
        <v>0</v>
      </c>
      <c r="H21" s="43">
        <v>0</v>
      </c>
      <c r="I21" s="43">
        <f>IF(H21="", "", J21-H21)</f>
        <v>0</v>
      </c>
      <c r="J21" s="43">
        <f>IF(ISBLANK(Projection!P18), "", Projection!P18)</f>
        <v>0</v>
      </c>
      <c r="K21" s="43">
        <f>IF(ISBLANK('Committed Cost'!P18), "", 'Committed Cost'!P18)</f>
        <v>0</v>
      </c>
      <c r="L21" s="37">
        <f>IFERROR(IF(ISBLANK(F21), "", K21/F21), 0)</f>
        <v>0</v>
      </c>
      <c r="M21" s="43">
        <f>IF(F21="", "", F21-K21)</f>
        <v>0</v>
      </c>
      <c r="N21" s="43">
        <f>IF(ISBLANK(Accrual!P18), "", Accrual!P18)</f>
        <v>0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0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>
      <c r="A23" s="18">
        <v>1.5</v>
      </c>
      <c r="B23" s="4" t="s">
        <v>58</v>
      </c>
      <c r="C23" s="43">
        <v>176364</v>
      </c>
      <c r="D23" s="43">
        <v>190287.06</v>
      </c>
      <c r="E23" s="43">
        <v>-8472</v>
      </c>
      <c r="F23" s="43">
        <f>D23+E23</f>
        <v>181815.06</v>
      </c>
      <c r="G23" s="43">
        <v>176364</v>
      </c>
      <c r="H23" s="43">
        <v>176364</v>
      </c>
      <c r="I23" s="43">
        <f>IF(H23="", "", J23-H23)</f>
        <v>0</v>
      </c>
      <c r="J23" s="43">
        <f>IF(ISBLANK(Projection!P20), "", Projection!P20)</f>
        <v>176364</v>
      </c>
      <c r="K23" s="43">
        <f>IF(ISBLANK('Committed Cost'!P20), "", 'Committed Cost'!P20)</f>
        <v>176364</v>
      </c>
      <c r="L23" s="37">
        <f>IFERROR(IF(ISBLANK(F23), "", K23/F23), 0)</f>
        <v>0.97001865522031</v>
      </c>
      <c r="M23" s="43">
        <f>IF(F23="", "", F23-K23)</f>
        <v>5451.06</v>
      </c>
      <c r="N23" s="43">
        <f>IF(ISBLANK(Accrual!P20), "", Accrual!P20)</f>
        <v>176364</v>
      </c>
      <c r="O23" s="43">
        <f>IF(ISBLANK('Cash Flow'!P20), "",'Cash Flow'!P20)</f>
        <v>176363.65</v>
      </c>
      <c r="P23" s="37">
        <f>IFERROR(IF(O23="", "", O23/K23), 0)</f>
        <v>0.99999801546801</v>
      </c>
      <c r="Q23" s="44">
        <f>IF(K23="", "", K23-O23)</f>
        <v>0.35000000000582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>
      <c r="A25" s="18">
        <v>1.7</v>
      </c>
      <c r="B25" s="4" t="s">
        <v>60</v>
      </c>
      <c r="C25" s="43">
        <v>0</v>
      </c>
      <c r="D25" s="43">
        <v>0</v>
      </c>
      <c r="E25" s="43">
        <v>10431.09</v>
      </c>
      <c r="F25" s="43">
        <f>D25+E25</f>
        <v>10431.09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10431.09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0</v>
      </c>
      <c r="D26" s="43">
        <v>58464.95</v>
      </c>
      <c r="E26" s="43">
        <v>-37076.8</v>
      </c>
      <c r="F26" s="43">
        <f>D26+E26</f>
        <v>21388.15</v>
      </c>
      <c r="G26" s="43">
        <v>-8231.87519</v>
      </c>
      <c r="H26" s="43">
        <v>-8231.87519</v>
      </c>
      <c r="I26" s="43">
        <f>IF(H26="", "", J26-H26)</f>
        <v>0</v>
      </c>
      <c r="J26" s="43">
        <f>IF(ISBLANK(Projection!P23), "", Projection!P23)</f>
        <v>-8231.87519</v>
      </c>
      <c r="K26" s="43">
        <f>IF(ISBLANK('Committed Cost'!P23), "", 'Committed Cost'!P23)</f>
        <v>-8231.87519</v>
      </c>
      <c r="L26" s="37">
        <f>IFERROR(IF(ISBLANK(F26), "", K26/F26), 0)</f>
        <v>-0.38488018786104</v>
      </c>
      <c r="M26" s="43">
        <f>IF(F26="", "", F26-K26)</f>
        <v>29620.02519</v>
      </c>
      <c r="N26" s="43">
        <f>IF(ISBLANK(Accrual!P23), "", Accrual!P23)</f>
        <v>-8231.94</v>
      </c>
      <c r="O26" s="43">
        <f>IF(ISBLANK('Cash Flow'!P23), "",'Cash Flow'!P23)</f>
        <v>-8231.87</v>
      </c>
      <c r="P26" s="37">
        <f>IFERROR(IF(O26="", "", O26/K26), 0)</f>
        <v>0.99999936952397</v>
      </c>
      <c r="Q26" s="44">
        <f>IF(K26="", "", K26-O26)</f>
        <v>-0.0051899999998568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 hidden="true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0</v>
      </c>
      <c r="H28" s="43">
        <v>0</v>
      </c>
      <c r="I28" s="43">
        <f>IF(H28="", "", J28-H28)</f>
        <v>0</v>
      </c>
      <c r="J28" s="43">
        <f>IF(ISBLANK(Projection!P25), "", Projection!P25)</f>
        <v>0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0</v>
      </c>
      <c r="P28" s="37">
        <f>IFERROR(IF(O28="", "", O28/K28), 0)</f>
        <v>0</v>
      </c>
      <c r="Q28" s="44">
        <f>IF(K28="", "", K28-O28)</f>
        <v>0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 hidden="true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0</v>
      </c>
      <c r="H31" s="43">
        <v>0</v>
      </c>
      <c r="I31" s="43">
        <f>IF(H31="", "", J31-H31)</f>
        <v>0</v>
      </c>
      <c r="J31" s="43">
        <f>IF(ISBLANK(Projection!P28), "", Projection!P28)</f>
        <v>0</v>
      </c>
      <c r="K31" s="43">
        <f>IF(ISBLANK('Committed Cost'!P28), "", 'Committed Cost'!P28)</f>
        <v>0</v>
      </c>
      <c r="L31" s="37">
        <f>IFERROR(IF(ISBLANK(F31), "", K31/F31), 0)</f>
        <v>0</v>
      </c>
      <c r="M31" s="43">
        <f>IF(F31="", "", F31-K31)</f>
        <v>0</v>
      </c>
      <c r="N31" s="43">
        <f>IF(ISBLANK(Accrual!P28), "", Accrual!P28)</f>
        <v>0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0</v>
      </c>
    </row>
    <row r="32" spans="1:18" customHeight="1" ht="12.75" hidden="true">
      <c r="A32" s="18" t="s">
        <v>69</v>
      </c>
      <c r="B32" s="4" t="s">
        <v>70</v>
      </c>
      <c r="C32" s="43">
        <v>0</v>
      </c>
      <c r="D32" s="43">
        <v>0</v>
      </c>
      <c r="E32" s="43">
        <v>0</v>
      </c>
      <c r="F32" s="43">
        <f>D32+E32</f>
        <v>0</v>
      </c>
      <c r="G32" s="43">
        <v>0</v>
      </c>
      <c r="H32" s="43">
        <v>0</v>
      </c>
      <c r="I32" s="43">
        <f>IF(H32="", "", J32-H32)</f>
        <v>0</v>
      </c>
      <c r="J32" s="43">
        <f>IF(ISBLANK(Projection!P29), "", Projection!P29)</f>
        <v>0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0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0.01</v>
      </c>
      <c r="P35" s="37">
        <f>IFERROR(IF(O35="", "", O35/K35), 0)</f>
        <v>0</v>
      </c>
      <c r="Q35" s="44">
        <f>IF(K35="", "", K35-O35)</f>
        <v>-0.01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694998.3</v>
      </c>
      <c r="D39" s="47">
        <f>SUM(D15:D38)</f>
        <v>762500.05</v>
      </c>
      <c r="E39" s="47">
        <f>SUM(E15:E38)</f>
        <v>-14088.97</v>
      </c>
      <c r="F39" s="47">
        <f>SUM(F15:F38)</f>
        <v>748411.08</v>
      </c>
      <c r="G39" s="47">
        <f>SUM(G15:G38)</f>
        <v>641000</v>
      </c>
      <c r="H39" s="47">
        <f>SUM(H15:H38)</f>
        <v>641000</v>
      </c>
      <c r="I39" s="47">
        <f>IF(H39="", "", J39-H39)</f>
        <v>0</v>
      </c>
      <c r="J39" s="47">
        <f>IF(ISBLANK(Projection!P36), "", Projection!P36)</f>
        <v>641000</v>
      </c>
      <c r="K39" s="47">
        <f>IF(ISBLANK('Committed Cost'!P36), "", 'Committed Cost'!P36)</f>
        <v>641000</v>
      </c>
      <c r="L39" s="39">
        <f>IFERROR(IF(ISBLANK(F39), "", K39/F39), 0)</f>
        <v>0.85648117342143</v>
      </c>
      <c r="M39" s="47">
        <f>IF(F39="", "", F39-K39)</f>
        <v>107411.08</v>
      </c>
      <c r="N39" s="47">
        <f>IF(ISBLANK(Accrual!P36), "", Accrual!P36)</f>
        <v>640999.88</v>
      </c>
      <c r="O39" s="47">
        <f>IF(ISBLANK('Cash Flow'!P36), "",'Cash Flow'!P36)</f>
        <v>640999.61</v>
      </c>
      <c r="P39" s="39">
        <f>IFERROR(IF(O39="", "", O39/K39), 0)</f>
        <v>0.99999939157566</v>
      </c>
      <c r="Q39" s="48">
        <f>IF(K39="", "", K39-O39)</f>
        <v>0.39000000001397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48314.49672</v>
      </c>
      <c r="D43" s="43">
        <v>54377.57368</v>
      </c>
      <c r="E43" s="43">
        <v>-0.01041</v>
      </c>
      <c r="F43" s="43">
        <f>D43+E43</f>
        <v>54377.56327</v>
      </c>
      <c r="G43" s="43">
        <v>52690</v>
      </c>
      <c r="H43" s="43">
        <v>52690</v>
      </c>
      <c r="I43" s="43">
        <f>IF(H43="", "", J43-H43)</f>
        <v>0</v>
      </c>
      <c r="J43" s="43">
        <f>IF(ISBLANK(Projection!P40), "", Projection!P40)</f>
        <v>52690</v>
      </c>
      <c r="K43" s="43">
        <f>IF(ISBLANK('Committed Cost'!P40), "", 'Committed Cost'!P40)</f>
        <v>52639.81235</v>
      </c>
      <c r="L43" s="37">
        <f>IFERROR(IF(ISBLANK(F43), "", K43/F43), 0)</f>
        <v>0.96804286886907</v>
      </c>
      <c r="M43" s="43">
        <f>IF(F43="", "", F43-K43)</f>
        <v>1737.75092</v>
      </c>
      <c r="N43" s="43">
        <f>IF(ISBLANK(Accrual!P40), "", Accrual!P40)</f>
        <v>52639.81235</v>
      </c>
      <c r="O43" s="43">
        <f>IF(ISBLANK('Cash Flow'!P40), "",'Cash Flow'!P40)</f>
        <v>52639.81235</v>
      </c>
      <c r="P43" s="37">
        <f>IFERROR(IF(O43="", "", O43/K43), 0)</f>
        <v>1</v>
      </c>
      <c r="Q43" s="44">
        <f>IF(K43="", "", K43-O43)</f>
        <v>0</v>
      </c>
    </row>
    <row r="44" spans="1:18" customHeight="1" ht="12.75" hidden="true">
      <c r="A44" s="18" t="s">
        <v>83</v>
      </c>
      <c r="B44" s="4" t="s">
        <v>84</v>
      </c>
      <c r="C44" s="43">
        <v>0</v>
      </c>
      <c r="D44" s="43">
        <v>0</v>
      </c>
      <c r="E44" s="43">
        <v>0</v>
      </c>
      <c r="F44" s="43">
        <f>D44+E44</f>
        <v>0</v>
      </c>
      <c r="G44" s="43">
        <v>0</v>
      </c>
      <c r="H44" s="43">
        <v>0</v>
      </c>
      <c r="I44" s="43">
        <f>IF(H44="", "", J44-H44)</f>
        <v>0</v>
      </c>
      <c r="J44" s="43">
        <f>IF(ISBLANK(Projection!P41), "", Projection!P41)</f>
        <v>0</v>
      </c>
      <c r="K44" s="43">
        <f>IF(ISBLANK('Committed Cost'!P41), "", 'Committed Cost'!P41)</f>
        <v>0</v>
      </c>
      <c r="L44" s="37">
        <f>IFERROR(IF(ISBLANK(F44), "", K44/F44), 0)</f>
        <v>0</v>
      </c>
      <c r="M44" s="43">
        <f>IF(F44="", "", F44-K44)</f>
        <v>0</v>
      </c>
      <c r="N44" s="43">
        <f>IF(ISBLANK(Accrual!P41), "", Accrual!P41)</f>
        <v>0</v>
      </c>
      <c r="O44" s="43">
        <f>IF(ISBLANK('Cash Flow'!P41), "",'Cash Flow'!P41)</f>
        <v>0</v>
      </c>
      <c r="P44" s="37">
        <f>IFERROR(IF(O44="", "", O44/K44), 0)</f>
        <v>0</v>
      </c>
      <c r="Q44" s="44">
        <f>IF(K44="", "", K44-O44)</f>
        <v>0</v>
      </c>
    </row>
    <row r="45" spans="1:18" customHeight="1" ht="12.75" hidden="true">
      <c r="A45" s="18" t="s">
        <v>85</v>
      </c>
      <c r="B45" s="4" t="s">
        <v>86</v>
      </c>
      <c r="C45" s="43">
        <v>0</v>
      </c>
      <c r="D45" s="43">
        <v>0</v>
      </c>
      <c r="E45" s="43">
        <v>0</v>
      </c>
      <c r="F45" s="43">
        <f>D45+E45</f>
        <v>0</v>
      </c>
      <c r="G45" s="43">
        <v>0</v>
      </c>
      <c r="H45" s="43">
        <v>0</v>
      </c>
      <c r="I45" s="43">
        <f>IF(H45="", "", J45-H45)</f>
        <v>0</v>
      </c>
      <c r="J45" s="43">
        <f>IF(ISBLANK(Projection!P42), "", Projection!P42)</f>
        <v>0</v>
      </c>
      <c r="K45" s="43">
        <f>IF(ISBLANK('Committed Cost'!P42), "", 'Committed Cost'!P42)</f>
        <v>0</v>
      </c>
      <c r="L45" s="37">
        <f>IFERROR(IF(ISBLANK(F45), "", K45/F45), 0)</f>
        <v>0</v>
      </c>
      <c r="M45" s="43">
        <f>IF(F45="", "", F45-K45)</f>
        <v>0</v>
      </c>
      <c r="N45" s="43">
        <f>IF(ISBLANK(Accrual!P42), "", Accrual!P42)</f>
        <v>0</v>
      </c>
      <c r="O45" s="43">
        <f>IF(ISBLANK('Cash Flow'!P42), "",'Cash Flow'!P42)</f>
        <v>0</v>
      </c>
      <c r="P45" s="37">
        <f>IFERROR(IF(O45="", "", O45/K45), 0)</f>
        <v>0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2670.26973</v>
      </c>
      <c r="D46" s="43">
        <v>5956.71439</v>
      </c>
      <c r="E46" s="43">
        <v>0.0</v>
      </c>
      <c r="F46" s="43">
        <f>D46+E46</f>
        <v>5956.71439</v>
      </c>
      <c r="G46" s="43">
        <v>8370</v>
      </c>
      <c r="H46" s="43">
        <v>8370</v>
      </c>
      <c r="I46" s="43">
        <f>IF(H46="", "", J46-H46)</f>
        <v>0.29999999999927</v>
      </c>
      <c r="J46" s="43">
        <f>IF(ISBLANK(Projection!P43), "", Projection!P43)</f>
        <v>8370.3</v>
      </c>
      <c r="K46" s="43">
        <f>IF(ISBLANK('Committed Cost'!P43), "", 'Committed Cost'!P43)</f>
        <v>8368.56054</v>
      </c>
      <c r="L46" s="37">
        <f>IFERROR(IF(ISBLANK(F46), "", K46/F46), 0)</f>
        <v>1.4048953822679</v>
      </c>
      <c r="M46" s="43">
        <f>IF(F46="", "", F46-K46)</f>
        <v>-2411.84615</v>
      </c>
      <c r="N46" s="43">
        <f>IF(ISBLANK(Accrual!P43), "", Accrual!P43)</f>
        <v>8368.56054</v>
      </c>
      <c r="O46" s="43">
        <f>IF(ISBLANK('Cash Flow'!P43), "",'Cash Flow'!P43)</f>
        <v>8368.56054</v>
      </c>
      <c r="P46" s="37">
        <f>IFERROR(IF(O46="", "", O46/K46), 0)</f>
        <v>1</v>
      </c>
      <c r="Q46" s="44">
        <f>IF(K46="", "", K46-O46)</f>
        <v>0</v>
      </c>
    </row>
    <row r="47" spans="1:18" customHeight="1" ht="12.75">
      <c r="A47" s="18" t="s">
        <v>89</v>
      </c>
      <c r="B47" s="4" t="s">
        <v>90</v>
      </c>
      <c r="C47" s="43">
        <v>12548.45532</v>
      </c>
      <c r="D47" s="43">
        <v>7382.06301</v>
      </c>
      <c r="E47" s="43">
        <v>-5559.96001</v>
      </c>
      <c r="F47" s="43">
        <f>D47+E47</f>
        <v>1822.103</v>
      </c>
      <c r="G47" s="43">
        <v>2337</v>
      </c>
      <c r="H47" s="43">
        <v>2337</v>
      </c>
      <c r="I47" s="43">
        <f>IF(H47="", "", J47-H47)</f>
        <v>0</v>
      </c>
      <c r="J47" s="43">
        <f>IF(ISBLANK(Projection!P44), "", Projection!P44)</f>
        <v>2337</v>
      </c>
      <c r="K47" s="43">
        <f>IF(ISBLANK('Committed Cost'!P44), "", 'Committed Cost'!P44)</f>
        <v>2208.48971</v>
      </c>
      <c r="L47" s="37">
        <f>IFERROR(IF(ISBLANK(F47), "", K47/F47), 0)</f>
        <v>1.212055361305</v>
      </c>
      <c r="M47" s="43">
        <f>IF(F47="", "", F47-K47)</f>
        <v>-386.38671</v>
      </c>
      <c r="N47" s="43">
        <f>IF(ISBLANK(Accrual!P44), "", Accrual!P44)</f>
        <v>2208.48971</v>
      </c>
      <c r="O47" s="43">
        <f>IF(ISBLANK('Cash Flow'!P44), "",'Cash Flow'!P44)</f>
        <v>2207.86707</v>
      </c>
      <c r="P47" s="37">
        <f>IFERROR(IF(O47="", "", O47/K47), 0)</f>
        <v>0.99971806977539</v>
      </c>
      <c r="Q47" s="44">
        <f>IF(K47="", "", K47-O47)</f>
        <v>0.62264000000005</v>
      </c>
    </row>
    <row r="48" spans="1:18" customHeight="1" ht="12.75">
      <c r="A48" s="18" t="s">
        <v>91</v>
      </c>
      <c r="B48" s="4" t="s">
        <v>92</v>
      </c>
      <c r="C48" s="43">
        <v>24425.71539</v>
      </c>
      <c r="D48" s="43">
        <v>21679.87645</v>
      </c>
      <c r="E48" s="43">
        <v>-4401.33879</v>
      </c>
      <c r="F48" s="43">
        <f>D48+E48</f>
        <v>17278.53766</v>
      </c>
      <c r="G48" s="43">
        <v>28334</v>
      </c>
      <c r="H48" s="43">
        <v>28334</v>
      </c>
      <c r="I48" s="43">
        <f>IF(H48="", "", J48-H48)</f>
        <v>0</v>
      </c>
      <c r="J48" s="43">
        <f>IF(ISBLANK(Projection!P45), "", Projection!P45)</f>
        <v>28334</v>
      </c>
      <c r="K48" s="43">
        <f>IF(ISBLANK('Committed Cost'!P45), "", 'Committed Cost'!P45)</f>
        <v>28333.61871</v>
      </c>
      <c r="L48" s="37">
        <f>IFERROR(IF(ISBLANK(F48), "", K48/F48), 0)</f>
        <v>1.6398157799889</v>
      </c>
      <c r="M48" s="43">
        <f>IF(F48="", "", F48-K48)</f>
        <v>-11055.08105</v>
      </c>
      <c r="N48" s="43">
        <f>IF(ISBLANK(Accrual!P45), "", Accrual!P45)</f>
        <v>26617.52189</v>
      </c>
      <c r="O48" s="43">
        <f>IF(ISBLANK('Cash Flow'!P45), "",'Cash Flow'!P45)</f>
        <v>26629.97139</v>
      </c>
      <c r="P48" s="37">
        <f>IFERROR(IF(O48="", "", O48/K48), 0)</f>
        <v>0.93987187667636</v>
      </c>
      <c r="Q48" s="44">
        <f>IF(K48="", "", K48-O48)</f>
        <v>1703.64732</v>
      </c>
    </row>
    <row r="49" spans="1:18" customHeight="1" ht="12.75">
      <c r="A49" s="18" t="s">
        <v>93</v>
      </c>
      <c r="B49" s="4" t="s">
        <v>94</v>
      </c>
      <c r="C49" s="43">
        <v>0.0</v>
      </c>
      <c r="D49" s="43">
        <v>0.0</v>
      </c>
      <c r="E49" s="43">
        <v>0.0</v>
      </c>
      <c r="F49" s="43">
        <f>D49+E49</f>
        <v>0</v>
      </c>
      <c r="G49" s="43">
        <v>1</v>
      </c>
      <c r="H49" s="43">
        <v>1</v>
      </c>
      <c r="I49" s="43">
        <f>IF(H49="", "", J49-H49)</f>
        <v>0</v>
      </c>
      <c r="J49" s="43">
        <f>IF(ISBLANK(Projection!P46), "", Projection!P46)</f>
        <v>1</v>
      </c>
      <c r="K49" s="43">
        <f>IF(ISBLANK('Committed Cost'!P46), "", 'Committed Cost'!P46)</f>
        <v>0.28</v>
      </c>
      <c r="L49" s="37">
        <f>IFERROR(IF(ISBLANK(F49), "", K49/F49), 0)</f>
        <v>0</v>
      </c>
      <c r="M49" s="43">
        <f>IF(F49="", "", F49-K49)</f>
        <v>-0.28</v>
      </c>
      <c r="N49" s="43">
        <f>IF(ISBLANK(Accrual!P46), "", Accrual!P46)</f>
        <v>0.28</v>
      </c>
      <c r="O49" s="43">
        <f>IF(ISBLANK('Cash Flow'!P46), "",'Cash Flow'!P46)</f>
        <v>0.28</v>
      </c>
      <c r="P49" s="37">
        <f>IFERROR(IF(O49="", "", O49/K49), 0)</f>
        <v>1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63.43401</v>
      </c>
      <c r="D50" s="43">
        <v>67.26437</v>
      </c>
      <c r="E50" s="43">
        <v>-1.48934</v>
      </c>
      <c r="F50" s="43">
        <f>D50+E50</f>
        <v>65.77503</v>
      </c>
      <c r="G50" s="43">
        <v>120</v>
      </c>
      <c r="H50" s="43">
        <v>120</v>
      </c>
      <c r="I50" s="43">
        <f>IF(H50="", "", J50-H50)</f>
        <v>0</v>
      </c>
      <c r="J50" s="43">
        <f>IF(ISBLANK(Projection!P47), "", Projection!P47)</f>
        <v>120</v>
      </c>
      <c r="K50" s="43">
        <f>IF(ISBLANK('Committed Cost'!P47), "", 'Committed Cost'!P47)</f>
        <v>119.78995</v>
      </c>
      <c r="L50" s="37">
        <f>IFERROR(IF(ISBLANK(F50), "", K50/F50), 0)</f>
        <v>1.8212070750861</v>
      </c>
      <c r="M50" s="43">
        <f>IF(F50="", "", F50-K50)</f>
        <v>-54.01492</v>
      </c>
      <c r="N50" s="43">
        <f>IF(ISBLANK(Accrual!P47), "", Accrual!P47)</f>
        <v>119.78995</v>
      </c>
      <c r="O50" s="43">
        <f>IF(ISBLANK('Cash Flow'!P47), "",'Cash Flow'!P47)</f>
        <v>119.78995</v>
      </c>
      <c r="P50" s="37">
        <f>IFERROR(IF(O50="", "", O50/K50), 0)</f>
        <v>1</v>
      </c>
      <c r="Q50" s="44">
        <f>IF(K50="", "", K50-O50)</f>
        <v>0</v>
      </c>
    </row>
    <row r="51" spans="1:18" customHeight="1" ht="12.75">
      <c r="A51" s="18" t="s">
        <v>97</v>
      </c>
      <c r="B51" s="4" t="s">
        <v>98</v>
      </c>
      <c r="C51" s="43">
        <v>22329.97852</v>
      </c>
      <c r="D51" s="43">
        <v>24182.40131</v>
      </c>
      <c r="E51" s="43">
        <v>-3581.50861</v>
      </c>
      <c r="F51" s="43">
        <f>D51+E51</f>
        <v>20600.8927</v>
      </c>
      <c r="G51" s="43">
        <v>16540</v>
      </c>
      <c r="H51" s="43">
        <v>16540</v>
      </c>
      <c r="I51" s="43">
        <f>IF(H51="", "", J51-H51)</f>
        <v>0</v>
      </c>
      <c r="J51" s="43">
        <f>IF(ISBLANK(Projection!P48), "", Projection!P48)</f>
        <v>16540</v>
      </c>
      <c r="K51" s="43">
        <f>IF(ISBLANK('Committed Cost'!P48), "", 'Committed Cost'!P48)</f>
        <v>16534.41235</v>
      </c>
      <c r="L51" s="37">
        <f>IFERROR(IF(ISBLANK(F51), "", K51/F51), 0)</f>
        <v>0.80260659529575</v>
      </c>
      <c r="M51" s="43">
        <f>IF(F51="", "", F51-K51)</f>
        <v>4066.48035</v>
      </c>
      <c r="N51" s="43">
        <f>IF(ISBLANK(Accrual!P48), "", Accrual!P48)</f>
        <v>15901.61135</v>
      </c>
      <c r="O51" s="43">
        <f>IF(ISBLANK('Cash Flow'!P48), "",'Cash Flow'!P48)</f>
        <v>15901.61135</v>
      </c>
      <c r="P51" s="37">
        <f>IFERROR(IF(O51="", "", O51/K51), 0)</f>
        <v>0.96172824370139</v>
      </c>
      <c r="Q51" s="44">
        <f>IF(K51="", "", K51-O51)</f>
        <v>632.801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1186.35391</v>
      </c>
      <c r="D53" s="43">
        <v>1257.98998</v>
      </c>
      <c r="E53" s="43">
        <v>0.0</v>
      </c>
      <c r="F53" s="43">
        <f>D53+E53</f>
        <v>1257.98998</v>
      </c>
      <c r="G53" s="43">
        <v>2883</v>
      </c>
      <c r="H53" s="43">
        <v>2883</v>
      </c>
      <c r="I53" s="43">
        <f>IF(H53="", "", J53-H53)</f>
        <v>0</v>
      </c>
      <c r="J53" s="43">
        <f>IF(ISBLANK(Projection!P50), "", Projection!P50)</f>
        <v>2883</v>
      </c>
      <c r="K53" s="43">
        <f>IF(ISBLANK('Committed Cost'!P50), "", 'Committed Cost'!P50)</f>
        <v>2882.80115</v>
      </c>
      <c r="L53" s="37">
        <f>IFERROR(IF(ISBLANK(F53), "", K53/F53), 0)</f>
        <v>2.2915930936111</v>
      </c>
      <c r="M53" s="43">
        <f>IF(F53="", "", F53-K53)</f>
        <v>-1624.81117</v>
      </c>
      <c r="N53" s="43">
        <f>IF(ISBLANK(Accrual!P50), "", Accrual!P50)</f>
        <v>2639.79915</v>
      </c>
      <c r="O53" s="43">
        <f>IF(ISBLANK('Cash Flow'!P50), "",'Cash Flow'!P50)</f>
        <v>2632.12915</v>
      </c>
      <c r="P53" s="37">
        <f>IFERROR(IF(O53="", "", O53/K53), 0)</f>
        <v>0.91304568475006</v>
      </c>
      <c r="Q53" s="44">
        <f>IF(K53="", "", K53-O53)</f>
        <v>250.672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0.0</v>
      </c>
      <c r="D57" s="43">
        <v>0.0</v>
      </c>
      <c r="E57" s="43">
        <v>3521.0</v>
      </c>
      <c r="F57" s="43">
        <f>D57+E57</f>
        <v>3521</v>
      </c>
      <c r="G57" s="43">
        <v>5435</v>
      </c>
      <c r="H57" s="43">
        <v>5435</v>
      </c>
      <c r="I57" s="43">
        <f>IF(H57="", "", J57-H57)</f>
        <v>0</v>
      </c>
      <c r="J57" s="43">
        <f>IF(ISBLANK(Projection!P54), "", Projection!P54)</f>
        <v>5435</v>
      </c>
      <c r="K57" s="43">
        <f>IF(ISBLANK('Committed Cost'!P54), "", 'Committed Cost'!P54)</f>
        <v>5434.78933</v>
      </c>
      <c r="L57" s="37">
        <f>IFERROR(IF(ISBLANK(F57), "", K57/F57), 0)</f>
        <v>1.5435357370065</v>
      </c>
      <c r="M57" s="43">
        <f>IF(F57="", "", F57-K57)</f>
        <v>-1913.78933</v>
      </c>
      <c r="N57" s="43">
        <f>IF(ISBLANK(Accrual!P54), "", Accrual!P54)</f>
        <v>5434.75333</v>
      </c>
      <c r="O57" s="43">
        <f>IF(ISBLANK('Cash Flow'!P54), "",'Cash Flow'!P54)</f>
        <v>5434.75333</v>
      </c>
      <c r="P57" s="37">
        <f>IFERROR(IF(O57="", "", O57/K57), 0)</f>
        <v>0.99999337600819</v>
      </c>
      <c r="Q57" s="44">
        <f>IF(K57="", "", K57-O57)</f>
        <v>0.036000000000058</v>
      </c>
    </row>
    <row r="58" spans="1:18" customHeight="1" ht="12.75">
      <c r="A58" s="18" t="s">
        <v>110</v>
      </c>
      <c r="B58" s="4" t="s">
        <v>111</v>
      </c>
      <c r="C58" s="43">
        <v>0.0</v>
      </c>
      <c r="D58" s="43">
        <v>0.0</v>
      </c>
      <c r="E58" s="43">
        <v>0.0</v>
      </c>
      <c r="F58" s="43">
        <f>D58+E58</f>
        <v>0</v>
      </c>
      <c r="G58" s="43">
        <v>8102</v>
      </c>
      <c r="H58" s="43">
        <v>8102</v>
      </c>
      <c r="I58" s="43">
        <f>IF(H58="", "", J58-H58)</f>
        <v>0</v>
      </c>
      <c r="J58" s="43">
        <f>IF(ISBLANK(Projection!P55), "", Projection!P55)</f>
        <v>8102</v>
      </c>
      <c r="K58" s="43">
        <f>IF(ISBLANK('Committed Cost'!P55), "", 'Committed Cost'!P55)</f>
        <v>5990.73842</v>
      </c>
      <c r="L58" s="37">
        <f>IFERROR(IF(ISBLANK(F58), "", K58/F58), 0)</f>
        <v>0</v>
      </c>
      <c r="M58" s="43">
        <f>IF(F58="", "", F58-K58)</f>
        <v>-5990.73842</v>
      </c>
      <c r="N58" s="43">
        <f>IF(ISBLANK(Accrual!P55), "", Accrual!P55)</f>
        <v>5990.73842</v>
      </c>
      <c r="O58" s="43">
        <f>IF(ISBLANK('Cash Flow'!P55), "",'Cash Flow'!P55)</f>
        <v>5990.73842</v>
      </c>
      <c r="P58" s="37">
        <f>IFERROR(IF(O58="", "", O58/K58), 0)</f>
        <v>1</v>
      </c>
      <c r="Q58" s="44">
        <f>IF(K58="", "", K58-O58)</f>
        <v>0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 hidden="true">
      <c r="A60" s="18" t="s">
        <v>114</v>
      </c>
      <c r="B60" s="4" t="s">
        <v>115</v>
      </c>
      <c r="C60" s="43">
        <v>0</v>
      </c>
      <c r="D60" s="43">
        <v>0</v>
      </c>
      <c r="E60" s="43">
        <v>0</v>
      </c>
      <c r="F60" s="43">
        <f>D60+E60</f>
        <v>0</v>
      </c>
      <c r="G60" s="43">
        <v>0</v>
      </c>
      <c r="H60" s="43">
        <v>0</v>
      </c>
      <c r="I60" s="43">
        <f>IF(H60="", "", J60-H60)</f>
        <v>0</v>
      </c>
      <c r="J60" s="43">
        <f>IF(ISBLANK(Projection!P57), "", Projection!P57)</f>
        <v>0</v>
      </c>
      <c r="K60" s="43">
        <f>IF(ISBLANK('Committed Cost'!P57), "", 'Committed Cost'!P57)</f>
        <v>0</v>
      </c>
      <c r="L60" s="37">
        <f>IFERROR(IF(ISBLANK(F60), "", K60/F60), 0)</f>
        <v>0</v>
      </c>
      <c r="M60" s="43">
        <f>IF(F60="", "", F60-K60)</f>
        <v>0</v>
      </c>
      <c r="N60" s="43">
        <f>IF(ISBLANK(Accrual!P57), "", Accrual!P57)</f>
        <v>0</v>
      </c>
      <c r="O60" s="43">
        <f>IF(ISBLANK('Cash Flow'!P57), "",'Cash Flow'!P57)</f>
        <v>0</v>
      </c>
      <c r="P60" s="37">
        <f>IFERROR(IF(O60="", "", O60/K60), 0)</f>
        <v>0</v>
      </c>
      <c r="Q60" s="44">
        <f>IF(K60="", "", K60-O60)</f>
        <v>0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>
      <c r="A63" s="18" t="s">
        <v>120</v>
      </c>
      <c r="B63" s="4" t="s">
        <v>121</v>
      </c>
      <c r="C63" s="43">
        <v>0.0</v>
      </c>
      <c r="D63" s="43">
        <v>0.0</v>
      </c>
      <c r="E63" s="43">
        <v>0.0</v>
      </c>
      <c r="F63" s="43">
        <f>D63+E63</f>
        <v>0</v>
      </c>
      <c r="G63" s="43">
        <v>197</v>
      </c>
      <c r="H63" s="43">
        <v>197</v>
      </c>
      <c r="I63" s="43">
        <f>IF(H63="", "", J63-H63)</f>
        <v>0</v>
      </c>
      <c r="J63" s="43">
        <f>IF(ISBLANK(Projection!P60), "", Projection!P60)</f>
        <v>197</v>
      </c>
      <c r="K63" s="43">
        <f>IF(ISBLANK('Committed Cost'!P60), "", 'Committed Cost'!P60)</f>
        <v>196.225</v>
      </c>
      <c r="L63" s="37">
        <f>IFERROR(IF(ISBLANK(F63), "", K63/F63), 0)</f>
        <v>0</v>
      </c>
      <c r="M63" s="43">
        <f>IF(F63="", "", F63-K63)</f>
        <v>-196.225</v>
      </c>
      <c r="N63" s="43">
        <f>IF(ISBLANK(Accrual!P60), "", Accrual!P60)</f>
        <v>196.225</v>
      </c>
      <c r="O63" s="43">
        <f>IF(ISBLANK('Cash Flow'!P60), "",'Cash Flow'!P60)</f>
        <v>196.225</v>
      </c>
      <c r="P63" s="37">
        <f>IFERROR(IF(O63="", "", O63/K63), 0)</f>
        <v>1</v>
      </c>
      <c r="Q63" s="44">
        <f>IF(K63="", "", K63-O63)</f>
        <v>0</v>
      </c>
    </row>
    <row r="64" spans="1:18" customHeight="1" ht="12.75">
      <c r="A64" s="18" t="s">
        <v>122</v>
      </c>
      <c r="B64" s="4" t="s">
        <v>123</v>
      </c>
      <c r="C64" s="43">
        <v>0.0</v>
      </c>
      <c r="D64" s="43">
        <v>0.0</v>
      </c>
      <c r="E64" s="43">
        <v>0.0</v>
      </c>
      <c r="F64" s="43">
        <f>D64+E64</f>
        <v>0</v>
      </c>
      <c r="G64" s="43">
        <v>3</v>
      </c>
      <c r="H64" s="43">
        <v>3</v>
      </c>
      <c r="I64" s="43">
        <f>IF(H64="", "", J64-H64)</f>
        <v>0</v>
      </c>
      <c r="J64" s="43">
        <f>IF(ISBLANK(Projection!P61), "", Projection!P61)</f>
        <v>3</v>
      </c>
      <c r="K64" s="43">
        <f>IF(ISBLANK('Committed Cost'!P61), "", 'Committed Cost'!P61)</f>
        <v>2.25525</v>
      </c>
      <c r="L64" s="37">
        <f>IFERROR(IF(ISBLANK(F64), "", K64/F64), 0)</f>
        <v>0</v>
      </c>
      <c r="M64" s="43">
        <f>IF(F64="", "", F64-K64)</f>
        <v>-2.25525</v>
      </c>
      <c r="N64" s="43">
        <f>IF(ISBLANK(Accrual!P61), "", Accrual!P61)</f>
        <v>2.25525</v>
      </c>
      <c r="O64" s="43">
        <f>IF(ISBLANK('Cash Flow'!P61), "",'Cash Flow'!P61)</f>
        <v>2.25525</v>
      </c>
      <c r="P64" s="37">
        <f>IFERROR(IF(O64="", "", O64/K64), 0)</f>
        <v>1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0.0</v>
      </c>
      <c r="D69" s="43">
        <v>0.0</v>
      </c>
      <c r="E69" s="43">
        <v>66.08</v>
      </c>
      <c r="F69" s="43">
        <f>D69+E69</f>
        <v>66.08</v>
      </c>
      <c r="G69" s="43">
        <v>2068</v>
      </c>
      <c r="H69" s="43">
        <v>2068</v>
      </c>
      <c r="I69" s="43">
        <f>IF(H69="", "", J69-H69)</f>
        <v>0</v>
      </c>
      <c r="J69" s="43">
        <f>IF(ISBLANK(Projection!P66), "", Projection!P66)</f>
        <v>2068</v>
      </c>
      <c r="K69" s="43">
        <f>IF(ISBLANK('Committed Cost'!P66), "", 'Committed Cost'!P66)</f>
        <v>2047.7388</v>
      </c>
      <c r="L69" s="37">
        <f>IFERROR(IF(ISBLANK(F69), "", K69/F69), 0)</f>
        <v>30.988783292978</v>
      </c>
      <c r="M69" s="43">
        <f>IF(F69="", "", F69-K69)</f>
        <v>-1981.6588</v>
      </c>
      <c r="N69" s="43">
        <f>IF(ISBLANK(Accrual!P66), "", Accrual!P66)</f>
        <v>1671.3938</v>
      </c>
      <c r="O69" s="43">
        <f>IF(ISBLANK('Cash Flow'!P66), "",'Cash Flow'!P66)</f>
        <v>1671.3938</v>
      </c>
      <c r="P69" s="37">
        <f>IFERROR(IF(O69="", "", O69/K69), 0)</f>
        <v>0.81621435311965</v>
      </c>
      <c r="Q69" s="44">
        <f>IF(K69="", "", K69-O69)</f>
        <v>376.345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15</v>
      </c>
      <c r="O70" s="43">
        <f>IF(ISBLANK('Cash Flow'!P67), "",'Cash Flow'!P67)</f>
        <v>15</v>
      </c>
      <c r="P70" s="37">
        <f>IFERROR(IF(O70="", "", O70/K70), 0)</f>
        <v>0</v>
      </c>
      <c r="Q70" s="44">
        <f>IF(K70="", "", K70-O70)</f>
        <v>-15</v>
      </c>
    </row>
    <row r="71" spans="1:18" customHeight="1" ht="12.75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-8511</v>
      </c>
      <c r="H71" s="43">
        <v>-8511</v>
      </c>
      <c r="I71" s="43">
        <f>IF(H71="", "", J71-H71)</f>
        <v>0</v>
      </c>
      <c r="J71" s="43">
        <f>IF(ISBLANK(Projection!P68), "", Projection!P68)</f>
        <v>-8511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0.0</v>
      </c>
      <c r="D76" s="43">
        <v>2118.0</v>
      </c>
      <c r="E76" s="43">
        <v>700.0</v>
      </c>
      <c r="F76" s="43">
        <f>D76+E76</f>
        <v>2818</v>
      </c>
      <c r="G76" s="43">
        <v>1817</v>
      </c>
      <c r="H76" s="43">
        <v>1817</v>
      </c>
      <c r="I76" s="43">
        <f>IF(H76="", "", J76-H76)</f>
        <v>0</v>
      </c>
      <c r="J76" s="43">
        <f>IF(ISBLANK(Projection!P73), "", Projection!P73)</f>
        <v>1817</v>
      </c>
      <c r="K76" s="43">
        <f>IF(ISBLANK('Committed Cost'!P73), "", 'Committed Cost'!P73)</f>
        <v>1816.682</v>
      </c>
      <c r="L76" s="37">
        <f>IFERROR(IF(ISBLANK(F76), "", K76/F76), 0)</f>
        <v>0.64467068843151</v>
      </c>
      <c r="M76" s="43">
        <f>IF(F76="", "", F76-K76)</f>
        <v>1001.318</v>
      </c>
      <c r="N76" s="43">
        <f>IF(ISBLANK(Accrual!P73), "", Accrual!P73)</f>
        <v>1182.24</v>
      </c>
      <c r="O76" s="43">
        <f>IF(ISBLANK('Cash Flow'!P73), "",'Cash Flow'!P73)</f>
        <v>1182.24</v>
      </c>
      <c r="P76" s="37">
        <f>IFERROR(IF(O76="", "", O76/K76), 0)</f>
        <v>0.65076881919896</v>
      </c>
      <c r="Q76" s="44">
        <f>IF(K76="", "", K76-O76)</f>
        <v>634.442</v>
      </c>
    </row>
    <row r="77" spans="1:18" customHeight="1" ht="12.75">
      <c r="A77" s="18" t="s">
        <v>147</v>
      </c>
      <c r="B77" s="4" t="s">
        <v>148</v>
      </c>
      <c r="C77" s="43">
        <v>7510.29974</v>
      </c>
      <c r="D77" s="43">
        <v>8981.27726</v>
      </c>
      <c r="E77" s="43">
        <v>-736.6</v>
      </c>
      <c r="F77" s="43">
        <f>D77+E77</f>
        <v>8244.67726</v>
      </c>
      <c r="G77" s="43">
        <v>11061</v>
      </c>
      <c r="H77" s="43">
        <v>11061</v>
      </c>
      <c r="I77" s="43">
        <f>IF(H77="", "", J77-H77)</f>
        <v>0</v>
      </c>
      <c r="J77" s="43">
        <f>IF(ISBLANK(Projection!P74), "", Projection!P74)</f>
        <v>11061</v>
      </c>
      <c r="K77" s="43">
        <f>IF(ISBLANK('Committed Cost'!P74), "", 'Committed Cost'!P74)</f>
        <v>11060.30688</v>
      </c>
      <c r="L77" s="37">
        <f>IFERROR(IF(ISBLANK(F77), "", K77/F77), 0)</f>
        <v>1.3415087736254</v>
      </c>
      <c r="M77" s="43">
        <f>IF(F77="", "", F77-K77)</f>
        <v>-2815.62962</v>
      </c>
      <c r="N77" s="43">
        <f>IF(ISBLANK(Accrual!P74), "", Accrual!P74)</f>
        <v>9848.95034</v>
      </c>
      <c r="O77" s="43">
        <f>IF(ISBLANK('Cash Flow'!P74), "",'Cash Flow'!P74)</f>
        <v>9727.83099</v>
      </c>
      <c r="P77" s="37">
        <f>IFERROR(IF(O77="", "", O77/K77), 0)</f>
        <v>0.87952631835112</v>
      </c>
      <c r="Q77" s="44">
        <f>IF(K77="", "", K77-O77)</f>
        <v>1332.47589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0.0</v>
      </c>
      <c r="E78" s="43">
        <v>726.6</v>
      </c>
      <c r="F78" s="43">
        <f>D78+E78</f>
        <v>726.6</v>
      </c>
      <c r="G78" s="43">
        <v>3510</v>
      </c>
      <c r="H78" s="43">
        <v>3510</v>
      </c>
      <c r="I78" s="43">
        <f>IF(H78="", "", J78-H78)</f>
        <v>0</v>
      </c>
      <c r="J78" s="43">
        <f>IF(ISBLANK(Projection!P75), "", Projection!P75)</f>
        <v>3510</v>
      </c>
      <c r="K78" s="43">
        <f>IF(ISBLANK('Committed Cost'!P75), "", 'Committed Cost'!P75)</f>
        <v>3509.07479</v>
      </c>
      <c r="L78" s="37">
        <f>IFERROR(IF(ISBLANK(F78), "", K78/F78), 0)</f>
        <v>4.8294450729425</v>
      </c>
      <c r="M78" s="43">
        <f>IF(F78="", "", F78-K78)</f>
        <v>-2782.47479</v>
      </c>
      <c r="N78" s="43">
        <f>IF(ISBLANK(Accrual!P75), "", Accrual!P75)</f>
        <v>3509.07479</v>
      </c>
      <c r="O78" s="43">
        <f>IF(ISBLANK('Cash Flow'!P75), "",'Cash Flow'!P75)</f>
        <v>3509.07479</v>
      </c>
      <c r="P78" s="37">
        <f>IFERROR(IF(O78="", "", O78/K78), 0)</f>
        <v>1</v>
      </c>
      <c r="Q78" s="44">
        <f>IF(K78="", "", K78-O78)</f>
        <v>0</v>
      </c>
    </row>
    <row r="79" spans="1:18" customHeight="1" ht="12.75">
      <c r="A79" s="18" t="s">
        <v>151</v>
      </c>
      <c r="B79" s="4" t="s">
        <v>152</v>
      </c>
      <c r="C79" s="43">
        <v>0.0</v>
      </c>
      <c r="D79" s="43">
        <v>0.0</v>
      </c>
      <c r="E79" s="43">
        <v>10.0</v>
      </c>
      <c r="F79" s="43">
        <f>D79+E79</f>
        <v>10</v>
      </c>
      <c r="G79" s="43">
        <v>42</v>
      </c>
      <c r="H79" s="43">
        <v>42</v>
      </c>
      <c r="I79" s="43">
        <f>IF(H79="", "", J79-H79)</f>
        <v>0</v>
      </c>
      <c r="J79" s="43">
        <f>IF(ISBLANK(Projection!P76), "", Projection!P76)</f>
        <v>42</v>
      </c>
      <c r="K79" s="43">
        <f>IF(ISBLANK('Committed Cost'!P76), "", 'Committed Cost'!P76)</f>
        <v>41.89484</v>
      </c>
      <c r="L79" s="37">
        <f>IFERROR(IF(ISBLANK(F79), "", K79/F79), 0)</f>
        <v>4.189484</v>
      </c>
      <c r="M79" s="43">
        <f>IF(F79="", "", F79-K79)</f>
        <v>-31.89484</v>
      </c>
      <c r="N79" s="43">
        <f>IF(ISBLANK(Accrual!P76), "", Accrual!P76)</f>
        <v>41.89484</v>
      </c>
      <c r="O79" s="43">
        <f>IF(ISBLANK('Cash Flow'!P76), "",'Cash Flow'!P76)</f>
        <v>41.89484</v>
      </c>
      <c r="P79" s="37">
        <f>IFERROR(IF(O79="", "", O79/K79), 0)</f>
        <v>1</v>
      </c>
      <c r="Q79" s="44">
        <f>IF(K79="", "", K79-O79)</f>
        <v>0</v>
      </c>
    </row>
    <row r="80" spans="1:18" customHeight="1" ht="12.75">
      <c r="A80" s="18" t="s">
        <v>153</v>
      </c>
      <c r="B80" s="4" t="s">
        <v>154</v>
      </c>
      <c r="C80" s="43">
        <v>0.0</v>
      </c>
      <c r="D80" s="43">
        <v>0.0</v>
      </c>
      <c r="E80" s="43">
        <v>-700.0</v>
      </c>
      <c r="F80" s="43">
        <f>D80+E80</f>
        <v>-700</v>
      </c>
      <c r="G80" s="43">
        <v>-741</v>
      </c>
      <c r="H80" s="43">
        <v>-741</v>
      </c>
      <c r="I80" s="43">
        <f>IF(H80="", "", J80-H80)</f>
        <v>0</v>
      </c>
      <c r="J80" s="43">
        <f>IF(ISBLANK(Projection!P77), "", Projection!P77)</f>
        <v>-741</v>
      </c>
      <c r="K80" s="43">
        <f>IF(ISBLANK('Committed Cost'!P77), "", 'Committed Cost'!P77)</f>
        <v>-340.7105</v>
      </c>
      <c r="L80" s="37">
        <f>IFERROR(IF(ISBLANK(F80), "", K80/F80), 0)</f>
        <v>0.48672928571429</v>
      </c>
      <c r="M80" s="43">
        <f>IF(F80="", "", F80-K80)</f>
        <v>-359.2895</v>
      </c>
      <c r="N80" s="43">
        <f>IF(ISBLANK(Accrual!P77), "", Accrual!P77)</f>
        <v>-340.7105</v>
      </c>
      <c r="O80" s="43">
        <f>IF(ISBLANK('Cash Flow'!P77), "",'Cash Flow'!P77)</f>
        <v>-340.7105</v>
      </c>
      <c r="P80" s="37">
        <f>IFERROR(IF(O80="", "", O80/K80), 0)</f>
        <v>1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>
      <c r="A82" s="18" t="s">
        <v>157</v>
      </c>
      <c r="B82" s="4" t="s">
        <v>158</v>
      </c>
      <c r="C82" s="43">
        <v>0.0</v>
      </c>
      <c r="D82" s="43">
        <v>0.0</v>
      </c>
      <c r="E82" s="43">
        <v>0.0</v>
      </c>
      <c r="F82" s="43">
        <f>D82+E82</f>
        <v>0</v>
      </c>
      <c r="G82" s="43">
        <v>520</v>
      </c>
      <c r="H82" s="43">
        <v>520</v>
      </c>
      <c r="I82" s="43">
        <f>IF(H82="", "", J82-H82)</f>
        <v>0</v>
      </c>
      <c r="J82" s="43">
        <f>IF(ISBLANK(Projection!P79), "", Projection!P79)</f>
        <v>520</v>
      </c>
      <c r="K82" s="43">
        <f>IF(ISBLANK('Committed Cost'!P79), "", 'Committed Cost'!P79)</f>
        <v>519.86836</v>
      </c>
      <c r="L82" s="37">
        <f>IFERROR(IF(ISBLANK(F82), "", K82/F82), 0)</f>
        <v>0</v>
      </c>
      <c r="M82" s="43">
        <f>IF(F82="", "", F82-K82)</f>
        <v>-519.86836</v>
      </c>
      <c r="N82" s="43">
        <f>IF(ISBLANK(Accrual!P79), "", Accrual!P79)</f>
        <v>519.86836</v>
      </c>
      <c r="O82" s="43">
        <f>IF(ISBLANK('Cash Flow'!P79), "",'Cash Flow'!P79)</f>
        <v>519.86836</v>
      </c>
      <c r="P82" s="37">
        <f>IFERROR(IF(O82="", "", O82/K82), 0)</f>
        <v>1</v>
      </c>
      <c r="Q82" s="44">
        <f>IF(K82="", "", K82-O82)</f>
        <v>0</v>
      </c>
    </row>
    <row r="83" spans="1:18" customHeight="1" ht="12.75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-1214</v>
      </c>
      <c r="H83" s="43">
        <v>-1214</v>
      </c>
      <c r="I83" s="43">
        <f>IF(H83="", "", J83-H83)</f>
        <v>0</v>
      </c>
      <c r="J83" s="43">
        <f>IF(ISBLANK(Projection!P80), "", Projection!P80)</f>
        <v>-1214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</v>
      </c>
      <c r="D84" s="43">
        <v>0</v>
      </c>
      <c r="E84" s="43">
        <v>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540835.95383</v>
      </c>
      <c r="D86" s="43">
        <v>593846.87891</v>
      </c>
      <c r="E86" s="43">
        <v>-4131.74022</v>
      </c>
      <c r="F86" s="43">
        <f>D86+E86</f>
        <v>589715.13869</v>
      </c>
      <c r="G86" s="43">
        <v>512357</v>
      </c>
      <c r="H86" s="43">
        <v>512357</v>
      </c>
      <c r="I86" s="43">
        <f>IF(H86="", "", J86-H86)</f>
        <v>-0.29999999998836</v>
      </c>
      <c r="J86" s="43">
        <f>IF(ISBLANK(Projection!P83), "", Projection!P83)</f>
        <v>512356.7</v>
      </c>
      <c r="K86" s="43">
        <f>IF(ISBLANK('Committed Cost'!P83), "", 'Committed Cost'!P83)</f>
        <v>496866.68504</v>
      </c>
      <c r="L86" s="37">
        <f>IFERROR(IF(ISBLANK(F86), "", K86/F86), 0)</f>
        <v>0.84255372202882</v>
      </c>
      <c r="M86" s="43">
        <f>IF(F86="", "", F86-K86)</f>
        <v>92848.45365</v>
      </c>
      <c r="N86" s="43">
        <f>IF(ISBLANK(Accrual!P83), "", Accrual!P83)</f>
        <v>487206.59449</v>
      </c>
      <c r="O86" s="43">
        <f>IF(ISBLANK('Cash Flow'!P83), "",'Cash Flow'!P83)</f>
        <v>484867.01796</v>
      </c>
      <c r="P86" s="37">
        <f>IFERROR(IF(O86="", "", O86/K86), 0)</f>
        <v>0.97584932248168</v>
      </c>
      <c r="Q86" s="44">
        <f>IF(K86="", "", K86-O86)</f>
        <v>11999.66708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91833</v>
      </c>
      <c r="H87" s="43">
        <v>91833</v>
      </c>
      <c r="I87" s="43">
        <f>IF(H87="", "", J87-H87)</f>
        <v>0</v>
      </c>
      <c r="J87" s="43">
        <f>IF(ISBLANK(Projection!P84), "", Projection!P84)</f>
        <v>91833</v>
      </c>
      <c r="K87" s="43">
        <f>IF(ISBLANK('Committed Cost'!P84), "", 'Committed Cost'!P84)</f>
        <v>75400.24203</v>
      </c>
      <c r="L87" s="37">
        <f>IFERROR(IF(ISBLANK(F87), "", K87/F87), 0)</f>
        <v>0</v>
      </c>
      <c r="M87" s="43">
        <f>IF(F87="", "", F87-K87)</f>
        <v>-75400.24203</v>
      </c>
      <c r="N87" s="43">
        <f>IF(ISBLANK(Accrual!P84), "", Accrual!P84)</f>
        <v>74647.04881</v>
      </c>
      <c r="O87" s="43">
        <f>IF(ISBLANK('Cash Flow'!P84), "",'Cash Flow'!P84)</f>
        <v>74250.35902</v>
      </c>
      <c r="P87" s="37">
        <f>IFERROR(IF(O87="", "", O87/K87), 0)</f>
        <v>0.98474961115453</v>
      </c>
      <c r="Q87" s="44">
        <f>IF(K87="", "", K87-O87)</f>
        <v>1149.88301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-13872.9825</v>
      </c>
      <c r="O89" s="43">
        <f>IF(ISBLANK('Cash Flow'!P86), "",'Cash Flow'!P86)</f>
        <v>-10321.10095</v>
      </c>
      <c r="P89" s="37">
        <f>IFERROR(IF(O89="", "", O89/K89), 0)</f>
        <v>0</v>
      </c>
      <c r="Q89" s="44">
        <f>IF(K89="", "", K89-O89)</f>
        <v>10321.10095</v>
      </c>
    </row>
    <row r="90" spans="1:18" customHeight="1" ht="12.75" hidden="true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0</v>
      </c>
      <c r="P90" s="37">
        <f>IFERROR(IF(O90="", "", O90/K90), 0)</f>
        <v>0</v>
      </c>
      <c r="Q90" s="44">
        <f>IF(K90="", "", K90-O90)</f>
        <v>0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-5389.73472</v>
      </c>
      <c r="P91" s="37">
        <f>IFERROR(IF(O91="", "", O91/K91), 0)</f>
        <v>0</v>
      </c>
      <c r="Q91" s="44">
        <f>IF(K91="", "", K91-O91)</f>
        <v>5389.73472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-53344</v>
      </c>
      <c r="H92" s="43">
        <v>-53344</v>
      </c>
      <c r="I92" s="43">
        <f>IF(H92="", "", J92-H92)</f>
        <v>0</v>
      </c>
      <c r="J92" s="43">
        <f>IF(ISBLANK(Projection!P89), "", Projection!P89)</f>
        <v>-53344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</v>
      </c>
      <c r="D93" s="43">
        <v>0</v>
      </c>
      <c r="E93" s="43">
        <v>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 hidden="true">
      <c r="A94" s="18" t="s">
        <v>180</v>
      </c>
      <c r="B94" s="4" t="s">
        <v>181</v>
      </c>
      <c r="C94" s="43">
        <v>0</v>
      </c>
      <c r="D94" s="43">
        <v>0</v>
      </c>
      <c r="E94" s="43">
        <v>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 hidden="true">
      <c r="A95" s="18">
        <v>2.5</v>
      </c>
      <c r="B95" s="4" t="s">
        <v>182</v>
      </c>
      <c r="C95" s="43">
        <v>0</v>
      </c>
      <c r="D95" s="43">
        <v>0</v>
      </c>
      <c r="E95" s="43">
        <v>0</v>
      </c>
      <c r="F95" s="43">
        <f>D95+E95</f>
        <v>0</v>
      </c>
      <c r="G95" s="43">
        <v>0</v>
      </c>
      <c r="H95" s="43">
        <v>0</v>
      </c>
      <c r="I95" s="43">
        <f>IF(H95="", "", J95-H95)</f>
        <v>0</v>
      </c>
      <c r="J95" s="43">
        <f>IF(ISBLANK(Projection!P92), "", Projection!P92)</f>
        <v>0</v>
      </c>
      <c r="K95" s="43">
        <f>IF(ISBLANK('Committed Cost'!P92), "", 'Committed Cost'!P92)</f>
        <v>0</v>
      </c>
      <c r="L95" s="37">
        <f>IFERROR(IF(ISBLANK(F95), "", K95/F95), 0)</f>
        <v>0</v>
      </c>
      <c r="M95" s="43">
        <f>IF(F95="", "", F95-K95)</f>
        <v>0</v>
      </c>
      <c r="N95" s="43">
        <f>IF(ISBLANK(Accrual!P92), "", Accrual!P92)</f>
        <v>0</v>
      </c>
      <c r="O95" s="43">
        <f>IF(ISBLANK('Cash Flow'!P92), "",'Cash Flow'!P92)</f>
        <v>0</v>
      </c>
      <c r="P95" s="37">
        <f>IFERROR(IF(O95="", "", O95/K95), 0)</f>
        <v>0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</v>
      </c>
      <c r="D99" s="43">
        <v>0</v>
      </c>
      <c r="E99" s="43">
        <v>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659884.95717</v>
      </c>
      <c r="D110" s="47">
        <f>SUM(D41:D109)</f>
        <v>719850.03936</v>
      </c>
      <c r="E110" s="47">
        <f>SUM(E41:E109)</f>
        <v>-14088.96738</v>
      </c>
      <c r="F110" s="47">
        <f>SUM(F41:F109)</f>
        <v>705761.07198</v>
      </c>
      <c r="G110" s="47">
        <f>SUM(G41:G109)</f>
        <v>684410</v>
      </c>
      <c r="H110" s="47">
        <f>SUM(H41:H109)</f>
        <v>684410</v>
      </c>
      <c r="I110" s="47">
        <f>IF(H110="", "", J110-H110)</f>
        <v>0</v>
      </c>
      <c r="J110" s="47">
        <f>IF(ISBLANK(Projection!P107), "", Projection!P107)</f>
        <v>684410</v>
      </c>
      <c r="K110" s="47">
        <f>IF(ISBLANK('Committed Cost'!P107), "", 'Committed Cost'!P107)</f>
        <v>713633.555</v>
      </c>
      <c r="L110" s="39">
        <f>IFERROR(IF(ISBLANK(F110), "", K110/F110), 0)</f>
        <v>1.0111546008027</v>
      </c>
      <c r="M110" s="47">
        <f>IF(F110="", "", F110-K110)</f>
        <v>-7872.4830200002</v>
      </c>
      <c r="N110" s="47">
        <f>IF(ISBLANK(Accrual!P107), "", Accrual!P107)</f>
        <v>684548.20937</v>
      </c>
      <c r="O110" s="47">
        <f>IF(ISBLANK('Cash Flow'!P107), "",'Cash Flow'!P107)</f>
        <v>679857.12739</v>
      </c>
      <c r="P110" s="39">
        <f>IFERROR(IF(O110="", "", O110/K110), 0)</f>
        <v>0.95266978777364</v>
      </c>
      <c r="Q110" s="48">
        <f>IF(K110="", "", K110-O110)</f>
        <v>33776.42761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35113.34283</v>
      </c>
      <c r="D112" s="49">
        <f>D39-D110</f>
        <v>42650.01064</v>
      </c>
      <c r="E112" s="49">
        <f>E39-E110</f>
        <v>-0.0026200000047538</v>
      </c>
      <c r="F112" s="49">
        <f>F39-F110</f>
        <v>42650.00802</v>
      </c>
      <c r="G112" s="49">
        <f>G39-G110</f>
        <v>-43410</v>
      </c>
      <c r="H112" s="49">
        <f>H39-H110</f>
        <v>-43410</v>
      </c>
      <c r="I112" s="49">
        <f>IF(H112="", "", J112-H112)</f>
        <v>0</v>
      </c>
      <c r="J112" s="49">
        <f>IF(ISBLANK(Projection!P109), "", Projection!P109)</f>
        <v>-43410</v>
      </c>
      <c r="K112" s="49">
        <f>IF(ISBLANK('Committed Cost'!P109), "", 'Committed Cost'!P109)</f>
        <v>-72633.555</v>
      </c>
      <c r="L112" s="40">
        <f>IFERROR(IF(ISBLANK(F112), "", K112/F112), 0)</f>
        <v>-1.7030138649901</v>
      </c>
      <c r="M112" s="49">
        <f>IF(F112="", "", F112-K112)</f>
        <v>115283.56302</v>
      </c>
      <c r="N112" s="49">
        <f>IF(ISBLANK(Accrual!P109), "", Accrual!P109)</f>
        <v>-43548.32937</v>
      </c>
      <c r="O112" s="49">
        <f>IF(ISBLANK('Cash Flow'!P109), "",'Cash Flow'!P109)</f>
        <v>-38857.51739</v>
      </c>
      <c r="P112" s="40">
        <f>IFERROR(IF(O112="", "", O112/K112), 0)</f>
        <v>0.53498024969313</v>
      </c>
      <c r="Q112" s="50">
        <f>IF(K112="", "", K112-O112)</f>
        <v>-33776.03761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-1</v>
      </c>
      <c r="H117" s="43"/>
      <c r="I117" s="43" t="str">
        <f>IF(H117="", "", J117-H117)</f>
        <v/>
      </c>
      <c r="J117" s="43">
        <f>IF(ISBLANK(Projection!P114), "", Projection!P114)</f>
        <v>-1</v>
      </c>
      <c r="K117" s="43">
        <f>IF(ISBLANK('Committed Cost'!P114), "", 'Committed Cost'!P114)</f>
        <v>-0.28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-0.28</v>
      </c>
      <c r="O117" s="43">
        <f>IF(ISBLANK('Cash Flow'!P114), "",'Cash Flow'!P114)</f>
        <v>-0.28</v>
      </c>
      <c r="P117" s="37">
        <f>IFERROR(IF(O117="", "", O117/K117), 0)</f>
        <v>1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-520</v>
      </c>
      <c r="H119" s="43"/>
      <c r="I119" s="43" t="str">
        <f>IF(H119="", "", J119-H119)</f>
        <v/>
      </c>
      <c r="J119" s="43">
        <f>IF(ISBLANK(Projection!P116), "", Projection!P116)</f>
        <v>-520</v>
      </c>
      <c r="K119" s="43">
        <f>IF(ISBLANK('Committed Cost'!P116), "", 'Committed Cost'!P116)</f>
        <v>-519.86836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-519.86836</v>
      </c>
      <c r="O119" s="43">
        <f>IF(ISBLANK('Cash Flow'!P116), "",'Cash Flow'!P116)</f>
        <v>-519.86836</v>
      </c>
      <c r="P119" s="37">
        <f>IFERROR(IF(O119="", "", O119/K119), 0)</f>
        <v>1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-760</v>
      </c>
      <c r="H121" s="45"/>
      <c r="I121" s="45" t="str">
        <f>IF(H121="", "", J121-H121)</f>
        <v/>
      </c>
      <c r="J121" s="45">
        <f>IF(ISBLANK(Projection!P118), "", Projection!P118)</f>
        <v>6632.82658041</v>
      </c>
      <c r="K121" s="45">
        <f>IF(ISBLANK('Committed Cost'!P118), "", 'Committed Cost'!P118)</f>
        <v>6632.82658041</v>
      </c>
      <c r="L121" s="38">
        <f>IFERROR(IF(ISBLANK(F121), "", K121/F121), 0)</f>
        <v>0</v>
      </c>
      <c r="M121" s="45">
        <f>IF(F121="", "", F121-K121)</f>
        <v>-6632.82658041</v>
      </c>
      <c r="N121" s="43">
        <f>IF(ISBLANK(Accrual!P118), "", Accrual!P118)</f>
        <v>6632.82658041</v>
      </c>
      <c r="O121" s="43">
        <f>IF(ISBLANK('Cash Flow'!P118), "",'Cash Flow'!P118)</f>
        <v>7202.3605895498</v>
      </c>
      <c r="P121" s="38">
        <f>IFERROR(IF(O121="", "", O121/K121), 0)</f>
        <v>1.0858659580852</v>
      </c>
      <c r="Q121" s="46">
        <f>IF(K121="", "", K121-O121)</f>
        <v>-569.53400913977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-1281</v>
      </c>
      <c r="H122" s="47"/>
      <c r="I122" s="47" t="str">
        <f>IF(H122="", "", J122-H122)</f>
        <v/>
      </c>
      <c r="J122" s="47">
        <f>IF(ISBLANK(Projection!P119), "", Projection!P119)</f>
        <v>6111.82658041</v>
      </c>
      <c r="K122" s="47">
        <f>IF(ISBLANK('Committed Cost'!P119), "", 'Committed Cost'!P119)</f>
        <v>6112.67822041</v>
      </c>
      <c r="L122" s="39">
        <f>IFERROR(IF(ISBLANK(F122), "", K122/F122), 0)</f>
        <v>0</v>
      </c>
      <c r="M122" s="47">
        <f>IF(F122="", "", F122-K122)</f>
        <v>-6112.67822041</v>
      </c>
      <c r="N122" s="47">
        <f>IF(ISBLANK(Accrual!P119), "", Accrual!P119)</f>
        <v>6112.67822041</v>
      </c>
      <c r="O122" s="47">
        <f>IF(ISBLANK('Cash Flow'!P119), "",'Cash Flow'!P119)</f>
        <v>6682.2122295498</v>
      </c>
      <c r="P122" s="39">
        <f>IFERROR(IF(O122="", "", O122/K122), 0)</f>
        <v>1.0931725814125</v>
      </c>
      <c r="Q122" s="48">
        <f>IF(K122="", "", K122-O122)</f>
        <v>-569.53400913977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35113.34283</v>
      </c>
      <c r="D124" s="49">
        <f>D112-D122</f>
        <v>42650.01064</v>
      </c>
      <c r="E124" s="49">
        <f>E112-E122</f>
        <v>-0.0026200000047538</v>
      </c>
      <c r="F124" s="49">
        <f>F112-F122</f>
        <v>42650.00802</v>
      </c>
      <c r="G124" s="49">
        <f>G112-G122</f>
        <v>-42129</v>
      </c>
      <c r="H124" s="49"/>
      <c r="I124" s="49" t="str">
        <f>IF(H124="", "", J124-H124)</f>
        <v/>
      </c>
      <c r="J124" s="49">
        <f>IF(ISBLANK(Projection!P121), "", Projection!P121)</f>
        <v>-49521.82658041</v>
      </c>
      <c r="K124" s="49">
        <f>IF(ISBLANK('Committed Cost'!P121), "", 'Committed Cost'!P121)</f>
        <v>-78746.23322041</v>
      </c>
      <c r="L124" s="40">
        <f>IFERROR(IF(ISBLANK(F124), "", K124/F124), 0)</f>
        <v>-1.8463357189401</v>
      </c>
      <c r="M124" s="49">
        <f>IF(F124="", "", F124-K124)</f>
        <v>121396.24124041</v>
      </c>
      <c r="N124" s="49">
        <f>IF(ISBLANK(Accrual!P121), "", Accrual!P121)</f>
        <v>-49661.00759041</v>
      </c>
      <c r="O124" s="49">
        <f>IF(ISBLANK('Cash Flow'!P121), "",'Cash Flow'!P121)</f>
        <v>-45539.72961955</v>
      </c>
      <c r="P124" s="40">
        <f>IFERROR(IF(O124="", "", O124/K124), 0)</f>
        <v>0.57830994267478</v>
      </c>
      <c r="Q124" s="50">
        <f>IF(K124="", "", K124-O124)</f>
        <v>-33206.50360086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31118.058</v>
      </c>
      <c r="D128" s="43">
        <f>(D39-D21-D23-D36)*D127</f>
        <v>34332.7794</v>
      </c>
      <c r="E128" s="43">
        <f>(E39-E21-E23-E36)*E127</f>
        <v>-337.0182</v>
      </c>
      <c r="F128" s="43">
        <f>(F39-F21-F23-F36)*F127</f>
        <v>33995.7612</v>
      </c>
      <c r="G128" s="43">
        <f>(G39-G21-G23-G36)*G127</f>
        <v>27878.16</v>
      </c>
      <c r="H128" s="43"/>
      <c r="I128" s="43" t="str">
        <f>IF(H128="", "", J128-H128)</f>
        <v/>
      </c>
      <c r="J128" s="43">
        <f>IF(ISBLANK(Projection!P125), "", Projection!P125)</f>
        <v>13939.08</v>
      </c>
      <c r="K128" s="43">
        <f>IF(ISBLANK('Committed Cost'!P125), "", 'Committed Cost'!P125)</f>
        <v>13939.08</v>
      </c>
      <c r="L128" s="37">
        <f>IFERROR(IF(ISBLANK(F128), "", K128/F128), 0)</f>
        <v>0.41002405911711</v>
      </c>
      <c r="M128" s="43">
        <f>IF(F128="", "", F128-K128)</f>
        <v>20056.6812</v>
      </c>
      <c r="N128" s="43">
        <f>IF(ISBLANK(Accrual!P125), "", Accrual!P125)</f>
        <v>13939.0764</v>
      </c>
      <c r="O128" s="43">
        <f>IF(ISBLANK('Cash Flow'!P125), "",'Cash Flow'!P125)</f>
        <v>13939.0788</v>
      </c>
      <c r="P128" s="37">
        <f>IFERROR(IF(O128="", "", O128/K128), 0)</f>
        <v>0.9999999139111</v>
      </c>
      <c r="Q128" s="44">
        <f>IF(K128="", "", K128-O128)</f>
        <v>0.0012000000024273</v>
      </c>
    </row>
    <row r="129" spans="1:18" customHeight="1" ht="12.75">
      <c r="A129" s="18" t="s">
        <v>216</v>
      </c>
      <c r="B129" s="4" t="s">
        <v>217</v>
      </c>
      <c r="C129" s="43">
        <f>(C39-C21-C23-C36)*0.020000</f>
        <v>10372.686</v>
      </c>
      <c r="D129" s="43">
        <f>(D39-D21-D23-D36)*0.020000</f>
        <v>11444.2598</v>
      </c>
      <c r="E129" s="43">
        <f>(E39-E21-E23-E36)*0.020000</f>
        <v>-112.3394</v>
      </c>
      <c r="F129" s="43">
        <f>(F39-F21-F23-F36)*0.020000</f>
        <v>11331.9204</v>
      </c>
      <c r="G129" s="43">
        <f>(G39-G21-G23-G36)*0.020000</f>
        <v>9292.72</v>
      </c>
      <c r="H129" s="43"/>
      <c r="I129" s="43" t="str">
        <f>IF(H129="", "", J129-H129)</f>
        <v/>
      </c>
      <c r="J129" s="43">
        <f>IF(ISBLANK(Projection!P126), "", Projection!P126)</f>
        <v>9292.72</v>
      </c>
      <c r="K129" s="43">
        <f>IF(ISBLANK('Committed Cost'!P126), "", 'Committed Cost'!P126)</f>
        <v>9292.72</v>
      </c>
      <c r="L129" s="37">
        <f>IFERROR(IF(ISBLANK(F129), "", K129/F129), 0)</f>
        <v>0.82004811823422</v>
      </c>
      <c r="M129" s="43">
        <f>IF(F129="", "", F129-K129)</f>
        <v>2039.2004</v>
      </c>
      <c r="N129" s="43">
        <f>IF(ISBLANK(Accrual!P126), "", Accrual!P126)</f>
        <v>9292.7176</v>
      </c>
      <c r="O129" s="43">
        <f>IF(ISBLANK('Cash Flow'!P126), "",'Cash Flow'!P126)</f>
        <v>9292.7192</v>
      </c>
      <c r="P129" s="37">
        <f>IFERROR(IF(O129="", "", O129/K129), 0)</f>
        <v>0.9999999139111</v>
      </c>
      <c r="Q129" s="44">
        <f>IF(K129="", "", K129-O129)</f>
        <v>0.00079999999979918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-6377.40117</v>
      </c>
      <c r="D132" s="51">
        <f>D124-SUM(D128:D129)+IF(ISBLANK(D130), 0, D130)</f>
        <v>-3127.02856</v>
      </c>
      <c r="E132" s="51">
        <f>E124-SUM(E128:E129)+IF(ISBLANK(E130), 0, E130)</f>
        <v>449.35498</v>
      </c>
      <c r="F132" s="51">
        <f>F124-SUM(F128:F129)+IF(ISBLANK(F130), 0, F130)</f>
        <v>-2677.6735799998</v>
      </c>
      <c r="G132" s="51">
        <f>G124-SUM(G128:G129)+IF(ISBLANK(G130), 0, G130)</f>
        <v>-79299.88</v>
      </c>
      <c r="H132" s="51"/>
      <c r="I132" s="51" t="str">
        <f>IF(H132="", "", J132-H132)</f>
        <v/>
      </c>
      <c r="J132" s="51">
        <f>IF(ISBLANK(Projection!P129), "", Projection!P129)</f>
        <v>-72753.62658041</v>
      </c>
      <c r="K132" s="51">
        <f>IF(ISBLANK('Committed Cost'!P129), "", 'Committed Cost'!P129)</f>
        <v>-101978.03322041</v>
      </c>
      <c r="L132" s="41">
        <f>IFERROR(IF(ISBLANK(F132), "", K132/F132), 0)</f>
        <v>38.084564893237</v>
      </c>
      <c r="M132" s="51">
        <f>IF(F132="", "", F132-K132)</f>
        <v>99300.35964041</v>
      </c>
      <c r="N132" s="51">
        <f>IF(ISBLANK(Accrual!P129), "", Accrual!P129)</f>
        <v>-72892.80159041</v>
      </c>
      <c r="O132" s="51">
        <f>IF(ISBLANK('Cash Flow'!P129), "",'Cash Flow'!P129)</f>
        <v>-68771.52761955</v>
      </c>
      <c r="P132" s="41">
        <f>IFERROR(IF(O132="", "", O132/K132), 0)</f>
        <v>0.67437589692391</v>
      </c>
      <c r="Q132" s="52">
        <f>IF(K132="", "", K132-O132)</f>
        <v>-33206.50560086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951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481117.52688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481117.52688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-8249.65169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-8249.65169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176364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176364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-8231.87519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-8231.87519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641000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641000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52690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52690</v>
      </c>
    </row>
    <row r="41" spans="1:16" customHeight="1" ht="12.75">
      <c r="A41" s="18" t="s">
        <v>83</v>
      </c>
      <c r="B41" s="4" t="s">
        <v>84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/>
      <c r="N41" s="43"/>
      <c r="O41" s="43"/>
      <c r="P41" s="44">
        <f>SUM(C41:O41)</f>
        <v>0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8370.3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8370.3</v>
      </c>
    </row>
    <row r="44" spans="1:16" customHeight="1" ht="12.75">
      <c r="A44" s="18" t="s">
        <v>89</v>
      </c>
      <c r="B44" s="4" t="s">
        <v>90</v>
      </c>
      <c r="C44" s="43">
        <v>2337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2337</v>
      </c>
    </row>
    <row r="45" spans="1:16" customHeight="1" ht="12.75">
      <c r="A45" s="18" t="s">
        <v>91</v>
      </c>
      <c r="B45" s="4" t="s">
        <v>92</v>
      </c>
      <c r="C45" s="43">
        <v>28334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28334</v>
      </c>
    </row>
    <row r="46" spans="1:16" customHeight="1" ht="12.75">
      <c r="A46" s="18" t="s">
        <v>93</v>
      </c>
      <c r="B46" s="4" t="s">
        <v>94</v>
      </c>
      <c r="C46" s="43">
        <v>1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1</v>
      </c>
    </row>
    <row r="47" spans="1:16" customHeight="1" ht="12.75">
      <c r="A47" s="18" t="s">
        <v>95</v>
      </c>
      <c r="B47" s="4" t="s">
        <v>96</v>
      </c>
      <c r="C47" s="43">
        <v>120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120</v>
      </c>
    </row>
    <row r="48" spans="1:16" customHeight="1" ht="12.75">
      <c r="A48" s="18" t="s">
        <v>97</v>
      </c>
      <c r="B48" s="4" t="s">
        <v>98</v>
      </c>
      <c r="C48" s="43">
        <v>16540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16540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2883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2883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5435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5435</v>
      </c>
    </row>
    <row r="55" spans="1:16" customHeight="1" ht="12.75">
      <c r="A55" s="18" t="s">
        <v>110</v>
      </c>
      <c r="B55" s="4" t="s">
        <v>111</v>
      </c>
      <c r="C55" s="43">
        <v>8102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8102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197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197</v>
      </c>
    </row>
    <row r="61" spans="1:16" customHeight="1" ht="12.75">
      <c r="A61" s="18" t="s">
        <v>122</v>
      </c>
      <c r="B61" s="4" t="s">
        <v>123</v>
      </c>
      <c r="C61" s="43">
        <v>3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3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2068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2068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-8511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-8511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1817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1817</v>
      </c>
    </row>
    <row r="74" spans="1:16" customHeight="1" ht="12.75">
      <c r="A74" s="18" t="s">
        <v>147</v>
      </c>
      <c r="B74" s="4" t="s">
        <v>148</v>
      </c>
      <c r="C74" s="43">
        <v>11061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11061</v>
      </c>
    </row>
    <row r="75" spans="1:16" customHeight="1" ht="12.75">
      <c r="A75" s="18" t="s">
        <v>149</v>
      </c>
      <c r="B75" s="4" t="s">
        <v>150</v>
      </c>
      <c r="C75" s="43">
        <v>3510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3510</v>
      </c>
    </row>
    <row r="76" spans="1:16" customHeight="1" ht="12.75">
      <c r="A76" s="18" t="s">
        <v>151</v>
      </c>
      <c r="B76" s="4" t="s">
        <v>152</v>
      </c>
      <c r="C76" s="43">
        <v>42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42</v>
      </c>
    </row>
    <row r="77" spans="1:16" customHeight="1" ht="12.75">
      <c r="A77" s="18" t="s">
        <v>153</v>
      </c>
      <c r="B77" s="4" t="s">
        <v>154</v>
      </c>
      <c r="C77" s="43">
        <v>-741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-741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520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520</v>
      </c>
    </row>
    <row r="80" spans="1:16" customHeight="1" ht="12.75">
      <c r="A80" s="18" t="s">
        <v>159</v>
      </c>
      <c r="B80" s="4" t="s">
        <v>160</v>
      </c>
      <c r="C80" s="43">
        <v>-1214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-1214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512356.7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512356.7</v>
      </c>
    </row>
    <row r="84" spans="1:16" customHeight="1" ht="12.75">
      <c r="A84" s="18" t="s">
        <v>166</v>
      </c>
      <c r="B84" s="4" t="s">
        <v>167</v>
      </c>
      <c r="C84" s="43">
        <v>91833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91833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-53344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-53344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684410</v>
      </c>
      <c r="D107" s="47">
        <f>SUM(D38:D106)</f>
        <v>0</v>
      </c>
      <c r="E107" s="47">
        <f>SUM(E38:E106)</f>
        <v>0</v>
      </c>
      <c r="F107" s="47">
        <f>SUM(F38:F106)</f>
        <v>0</v>
      </c>
      <c r="G107" s="47">
        <f>SUM(G38:G106)</f>
        <v>0</v>
      </c>
      <c r="H107" s="47">
        <f>SUM(H38:H106)</f>
        <v>0</v>
      </c>
      <c r="I107" s="47">
        <f>SUM(I38:I106)</f>
        <v>0</v>
      </c>
      <c r="J107" s="47">
        <f>SUM(J38:J106)</f>
        <v>0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684410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-43410</v>
      </c>
      <c r="D109" s="49">
        <f>D36-D107</f>
        <v>0</v>
      </c>
      <c r="E109" s="49">
        <f>E36-E107</f>
        <v>0</v>
      </c>
      <c r="F109" s="49">
        <f>F36-F107</f>
        <v>0</v>
      </c>
      <c r="G109" s="49">
        <f>G36-G107</f>
        <v>0</v>
      </c>
      <c r="H109" s="49">
        <f>H36-H107</f>
        <v>0</v>
      </c>
      <c r="I109" s="49">
        <f>I36-I107</f>
        <v>0</v>
      </c>
      <c r="J109" s="49">
        <f>J36-J107</f>
        <v>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-43410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-1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-1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-520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-520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4837.11188911</v>
      </c>
      <c r="D118" s="45">
        <v>239.11479979</v>
      </c>
      <c r="E118" s="45">
        <v>242.18936145</v>
      </c>
      <c r="F118" s="45">
        <v>247.44016442</v>
      </c>
      <c r="G118" s="45">
        <v>250.55449844</v>
      </c>
      <c r="H118" s="45">
        <v>251.59847551</v>
      </c>
      <c r="I118" s="45">
        <v>281.82156758</v>
      </c>
      <c r="J118" s="45">
        <v>282.99582411</v>
      </c>
      <c r="K118" s="45">
        <v>0</v>
      </c>
      <c r="L118" s="45">
        <v>0</v>
      </c>
      <c r="M118" s="45"/>
      <c r="N118" s="45"/>
      <c r="O118" s="45"/>
      <c r="P118" s="46">
        <f>SUM(C118:O118)</f>
        <v>6632.82658041</v>
      </c>
    </row>
    <row r="119" spans="1:16" customHeight="1" ht="12.75">
      <c r="A119" s="20">
        <v>4.3</v>
      </c>
      <c r="B119" s="15" t="s">
        <v>210</v>
      </c>
      <c r="C119" s="47">
        <f>SUM(C111:C118)</f>
        <v>4316.11188911</v>
      </c>
      <c r="D119" s="47">
        <f>SUM(D111:D118)</f>
        <v>239.11479979</v>
      </c>
      <c r="E119" s="47">
        <f>SUM(E111:E118)</f>
        <v>242.18936145</v>
      </c>
      <c r="F119" s="47">
        <f>SUM(F111:F118)</f>
        <v>247.44016442</v>
      </c>
      <c r="G119" s="47">
        <f>SUM(G111:G118)</f>
        <v>250.55449844</v>
      </c>
      <c r="H119" s="47">
        <f>SUM(H111:H118)</f>
        <v>251.59847551</v>
      </c>
      <c r="I119" s="47">
        <f>SUM(I111:I118)</f>
        <v>281.82156758</v>
      </c>
      <c r="J119" s="47">
        <f>SUM(J111:J118)</f>
        <v>282.99582411</v>
      </c>
      <c r="K119" s="47">
        <f>SUM(K111:K118)</f>
        <v>0</v>
      </c>
      <c r="L119" s="47">
        <f>SUM(L111:L118)</f>
        <v>0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6111.82658041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-47726.11188911</v>
      </c>
      <c r="D121" s="49">
        <f>D109-D119</f>
        <v>-239.11479979</v>
      </c>
      <c r="E121" s="49">
        <f>E109-E119</f>
        <v>-242.18936145</v>
      </c>
      <c r="F121" s="49">
        <f>F109-F119</f>
        <v>-247.44016442</v>
      </c>
      <c r="G121" s="49">
        <f>G109-G119</f>
        <v>-250.55449844</v>
      </c>
      <c r="H121" s="49">
        <f>H109-H119</f>
        <v>-251.59847551</v>
      </c>
      <c r="I121" s="49">
        <f>I109-I119</f>
        <v>-281.82156758</v>
      </c>
      <c r="J121" s="49">
        <f>J109-J119</f>
        <v>-282.99582411</v>
      </c>
      <c r="K121" s="49">
        <f>K109-K119</f>
        <v>0</v>
      </c>
      <c r="L121" s="49">
        <f>L109-L119</f>
        <v>0</v>
      </c>
      <c r="M121" s="49"/>
      <c r="N121" s="49"/>
      <c r="O121" s="49"/>
      <c r="P121" s="50">
        <f>P109-P119</f>
        <v>-49521.82658041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13939.08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13939.08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9292.72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0</v>
      </c>
      <c r="M126" s="43"/>
      <c r="N126" s="43"/>
      <c r="O126" s="43"/>
      <c r="P126" s="44">
        <f>(P36-P18-P20-P33)*0.020000</f>
        <v>9292.72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-70957.91188911</v>
      </c>
      <c r="D129" s="51">
        <f>D121-SUM(D125:D126)+IF(ISBLANK(D127), 0, D127)</f>
        <v>-239.11479979</v>
      </c>
      <c r="E129" s="51">
        <f>E121-SUM(E125:E126)+IF(ISBLANK(E127), 0, E127)</f>
        <v>-242.18936145</v>
      </c>
      <c r="F129" s="51">
        <f>F121-SUM(F125:F126)+IF(ISBLANK(F127), 0, F127)</f>
        <v>-247.44016442</v>
      </c>
      <c r="G129" s="51">
        <f>G121-SUM(G125:G126)+IF(ISBLANK(G127), 0, G127)</f>
        <v>-250.55449844</v>
      </c>
      <c r="H129" s="51">
        <f>H121-SUM(H125:H126)+IF(ISBLANK(H127), 0, H127)</f>
        <v>-251.59847551</v>
      </c>
      <c r="I129" s="51">
        <f>I121-SUM(I125:I126)+IF(ISBLANK(I127), 0, I127)</f>
        <v>-281.82156758</v>
      </c>
      <c r="J129" s="51">
        <f>J121-SUM(J125:J126)+IF(ISBLANK(J127), 0, J127)</f>
        <v>-282.99582411</v>
      </c>
      <c r="K129" s="51">
        <f>K121-SUM(K125:K126)+IF(ISBLANK(K127), 0, K127)</f>
        <v>0</v>
      </c>
      <c r="L129" s="51">
        <f>L121-SUM(L125:L126)+IF(ISBLANK(L127), 0, L127)</f>
        <v>0</v>
      </c>
      <c r="M129" s="51"/>
      <c r="N129" s="51"/>
      <c r="O129" s="51"/>
      <c r="P129" s="52">
        <f>P121-SUM(P125:P126)+IF(ISBLANK(P127), 0, P127)</f>
        <v>-72753.62658041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951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481117.52688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481117.52688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-8249.65169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-8249.65169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176364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176364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-8231.87519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-8231.87519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641000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641000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52639.81235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52639.81235</v>
      </c>
    </row>
    <row r="41" spans="1:16" customHeight="1" ht="12.75">
      <c r="A41" s="18" t="s">
        <v>83</v>
      </c>
      <c r="B41" s="4" t="s">
        <v>84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/>
      <c r="N41" s="43"/>
      <c r="O41" s="43"/>
      <c r="P41" s="44">
        <f>SUM(C41:O41)</f>
        <v>0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8369.78054</v>
      </c>
      <c r="D43" s="43">
        <v>0</v>
      </c>
      <c r="E43" s="43">
        <v>-1.22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8368.56054</v>
      </c>
    </row>
    <row r="44" spans="1:16" customHeight="1" ht="12.75">
      <c r="A44" s="18" t="s">
        <v>89</v>
      </c>
      <c r="B44" s="4" t="s">
        <v>90</v>
      </c>
      <c r="C44" s="43">
        <v>2208.48971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2208.48971</v>
      </c>
    </row>
    <row r="45" spans="1:16" customHeight="1" ht="12.75">
      <c r="A45" s="18" t="s">
        <v>91</v>
      </c>
      <c r="B45" s="4" t="s">
        <v>92</v>
      </c>
      <c r="C45" s="43">
        <v>28333.61871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28333.61871</v>
      </c>
    </row>
    <row r="46" spans="1:16" customHeight="1" ht="12.75">
      <c r="A46" s="18" t="s">
        <v>93</v>
      </c>
      <c r="B46" s="4" t="s">
        <v>94</v>
      </c>
      <c r="C46" s="43">
        <v>0.28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0.28</v>
      </c>
    </row>
    <row r="47" spans="1:16" customHeight="1" ht="12.75">
      <c r="A47" s="18" t="s">
        <v>95</v>
      </c>
      <c r="B47" s="4" t="s">
        <v>96</v>
      </c>
      <c r="C47" s="43">
        <v>119.78995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119.78995</v>
      </c>
    </row>
    <row r="48" spans="1:16" customHeight="1" ht="12.75">
      <c r="A48" s="18" t="s">
        <v>97</v>
      </c>
      <c r="B48" s="4" t="s">
        <v>98</v>
      </c>
      <c r="C48" s="43">
        <v>16534.41235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16534.41235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2882.80115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2882.80115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5434.78933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5434.78933</v>
      </c>
    </row>
    <row r="55" spans="1:16" customHeight="1" ht="12.75">
      <c r="A55" s="18" t="s">
        <v>110</v>
      </c>
      <c r="B55" s="4" t="s">
        <v>111</v>
      </c>
      <c r="C55" s="43">
        <v>5990.73842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5990.73842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196.225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196.225</v>
      </c>
    </row>
    <row r="61" spans="1:16" customHeight="1" ht="12.75">
      <c r="A61" s="18" t="s">
        <v>122</v>
      </c>
      <c r="B61" s="4" t="s">
        <v>123</v>
      </c>
      <c r="C61" s="43">
        <v>2.25525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2.25525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2047.7388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2047.7388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1816.682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1816.682</v>
      </c>
    </row>
    <row r="74" spans="1:16" customHeight="1" ht="12.75">
      <c r="A74" s="18" t="s">
        <v>147</v>
      </c>
      <c r="B74" s="4" t="s">
        <v>148</v>
      </c>
      <c r="C74" s="43">
        <v>11060.30688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11060.30688</v>
      </c>
    </row>
    <row r="75" spans="1:16" customHeight="1" ht="12.75">
      <c r="A75" s="18" t="s">
        <v>149</v>
      </c>
      <c r="B75" s="4" t="s">
        <v>150</v>
      </c>
      <c r="C75" s="43">
        <v>3509.07479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3509.07479</v>
      </c>
    </row>
    <row r="76" spans="1:16" customHeight="1" ht="12.75">
      <c r="A76" s="18" t="s">
        <v>151</v>
      </c>
      <c r="B76" s="4" t="s">
        <v>152</v>
      </c>
      <c r="C76" s="43">
        <v>41.89484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41.89484</v>
      </c>
    </row>
    <row r="77" spans="1:16" customHeight="1" ht="12.75">
      <c r="A77" s="18" t="s">
        <v>153</v>
      </c>
      <c r="B77" s="4" t="s">
        <v>154</v>
      </c>
      <c r="C77" s="43">
        <v>-340.7105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-340.7105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519.86836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519.86836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496866.68504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496866.68504</v>
      </c>
    </row>
    <row r="84" spans="1:16" customHeight="1" ht="12.75">
      <c r="A84" s="18" t="s">
        <v>166</v>
      </c>
      <c r="B84" s="4" t="s">
        <v>167</v>
      </c>
      <c r="C84" s="43">
        <v>75400.24203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75400.24203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713634.775</v>
      </c>
      <c r="D107" s="47">
        <f>SUM(D38:D106)</f>
        <v>0</v>
      </c>
      <c r="E107" s="47">
        <f>SUM(E38:E106)</f>
        <v>-1.22</v>
      </c>
      <c r="F107" s="47">
        <f>SUM(F38:F106)</f>
        <v>0</v>
      </c>
      <c r="G107" s="47">
        <f>SUM(G38:G106)</f>
        <v>0</v>
      </c>
      <c r="H107" s="47">
        <f>SUM(H38:H106)</f>
        <v>0</v>
      </c>
      <c r="I107" s="47">
        <f>SUM(I38:I106)</f>
        <v>0</v>
      </c>
      <c r="J107" s="47">
        <f>SUM(J38:J106)</f>
        <v>0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713633.555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-72634.775</v>
      </c>
      <c r="D109" s="49">
        <f>D36-D107</f>
        <v>0</v>
      </c>
      <c r="E109" s="49">
        <f>E36-E107</f>
        <v>1.22</v>
      </c>
      <c r="F109" s="49">
        <f>F36-F107</f>
        <v>0</v>
      </c>
      <c r="G109" s="49">
        <f>G36-G107</f>
        <v>0</v>
      </c>
      <c r="H109" s="49">
        <f>H36-H107</f>
        <v>0</v>
      </c>
      <c r="I109" s="49">
        <f>I36-I107</f>
        <v>0</v>
      </c>
      <c r="J109" s="49">
        <f>J36-J107</f>
        <v>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-72633.555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-0.28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-0.28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-519.86836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-519.86836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4837.11188911</v>
      </c>
      <c r="D118" s="45">
        <v>239.11479979</v>
      </c>
      <c r="E118" s="45">
        <v>242.18936145</v>
      </c>
      <c r="F118" s="45">
        <v>247.44016442</v>
      </c>
      <c r="G118" s="45">
        <v>250.55449844</v>
      </c>
      <c r="H118" s="45">
        <v>251.59847551</v>
      </c>
      <c r="I118" s="45">
        <v>281.82156758</v>
      </c>
      <c r="J118" s="45">
        <v>282.99582411</v>
      </c>
      <c r="K118" s="45">
        <v>0</v>
      </c>
      <c r="L118" s="45">
        <v>0</v>
      </c>
      <c r="M118" s="45"/>
      <c r="N118" s="45"/>
      <c r="O118" s="45"/>
      <c r="P118" s="46">
        <f>SUM(C118:O118)</f>
        <v>6632.82658041</v>
      </c>
    </row>
    <row r="119" spans="1:16" customHeight="1" ht="12.75">
      <c r="A119" s="20">
        <v>4.3</v>
      </c>
      <c r="B119" s="15" t="s">
        <v>210</v>
      </c>
      <c r="C119" s="47">
        <f>SUM(C111:C118)</f>
        <v>4316.96352911</v>
      </c>
      <c r="D119" s="47">
        <f>SUM(D111:D118)</f>
        <v>239.11479979</v>
      </c>
      <c r="E119" s="47">
        <f>SUM(E111:E118)</f>
        <v>242.18936145</v>
      </c>
      <c r="F119" s="47">
        <f>SUM(F111:F118)</f>
        <v>247.44016442</v>
      </c>
      <c r="G119" s="47">
        <f>SUM(G111:G118)</f>
        <v>250.55449844</v>
      </c>
      <c r="H119" s="47">
        <f>SUM(H111:H118)</f>
        <v>251.59847551</v>
      </c>
      <c r="I119" s="47">
        <f>SUM(I111:I118)</f>
        <v>281.82156758</v>
      </c>
      <c r="J119" s="47">
        <f>SUM(J111:J118)</f>
        <v>282.99582411</v>
      </c>
      <c r="K119" s="47">
        <f>SUM(K111:K118)</f>
        <v>0</v>
      </c>
      <c r="L119" s="47">
        <f>SUM(L111:L118)</f>
        <v>0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6112.67822041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-76951.73852911</v>
      </c>
      <c r="D121" s="49">
        <f>D109-D119</f>
        <v>-239.11479979</v>
      </c>
      <c r="E121" s="49">
        <f>E109-E119</f>
        <v>-240.96936145</v>
      </c>
      <c r="F121" s="49">
        <f>F109-F119</f>
        <v>-247.44016442</v>
      </c>
      <c r="G121" s="49">
        <f>G109-G119</f>
        <v>-250.55449844</v>
      </c>
      <c r="H121" s="49">
        <f>H109-H119</f>
        <v>-251.59847551</v>
      </c>
      <c r="I121" s="49">
        <f>I109-I119</f>
        <v>-281.82156758</v>
      </c>
      <c r="J121" s="49">
        <f>J109-J119</f>
        <v>-282.99582411</v>
      </c>
      <c r="K121" s="49">
        <f>K109-K119</f>
        <v>0</v>
      </c>
      <c r="L121" s="49">
        <f>L109-L119</f>
        <v>0</v>
      </c>
      <c r="M121" s="49"/>
      <c r="N121" s="49"/>
      <c r="O121" s="49"/>
      <c r="P121" s="50">
        <f>P109-P119</f>
        <v>-78746.23322041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13939.08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13939.08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9292.72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0</v>
      </c>
      <c r="M126" s="43"/>
      <c r="N126" s="43"/>
      <c r="O126" s="43"/>
      <c r="P126" s="44">
        <f>(P36-P18-P20-P33)*0.020000</f>
        <v>9292.72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-100183.53852911</v>
      </c>
      <c r="D129" s="51">
        <f>D121-SUM(D125:D126)+IF(ISBLANK(D127), 0, D127)</f>
        <v>-239.11479979</v>
      </c>
      <c r="E129" s="51">
        <f>E121-SUM(E125:E126)+IF(ISBLANK(E127), 0, E127)</f>
        <v>-240.96936145</v>
      </c>
      <c r="F129" s="51">
        <f>F121-SUM(F125:F126)+IF(ISBLANK(F127), 0, F127)</f>
        <v>-247.44016442</v>
      </c>
      <c r="G129" s="51">
        <f>G121-SUM(G125:G126)+IF(ISBLANK(G127), 0, G127)</f>
        <v>-250.55449844</v>
      </c>
      <c r="H129" s="51">
        <f>H121-SUM(H125:H126)+IF(ISBLANK(H127), 0, H127)</f>
        <v>-251.59847551</v>
      </c>
      <c r="I129" s="51">
        <f>I121-SUM(I125:I126)+IF(ISBLANK(I127), 0, I127)</f>
        <v>-281.82156758</v>
      </c>
      <c r="J129" s="51">
        <f>J121-SUM(J125:J126)+IF(ISBLANK(J127), 0, J127)</f>
        <v>-282.99582411</v>
      </c>
      <c r="K129" s="51">
        <f>K121-SUM(K125:K126)+IF(ISBLANK(K127), 0, K127)</f>
        <v>0</v>
      </c>
      <c r="L129" s="51">
        <f>L121-SUM(L125:L126)+IF(ISBLANK(L127), 0, L127)</f>
        <v>0</v>
      </c>
      <c r="M129" s="51"/>
      <c r="N129" s="51"/>
      <c r="O129" s="51"/>
      <c r="P129" s="52">
        <f>P121-SUM(P125:P126)+IF(ISBLANK(P127), 0, P127)</f>
        <v>-101978.03322041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951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481118.29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481118.29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-8250.47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-8250.47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176364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176364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-8231.94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-8231.94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640999.88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640999.88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52639.81235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52639.81235</v>
      </c>
    </row>
    <row r="41" spans="1:16" customHeight="1" ht="12.75">
      <c r="A41" s="18" t="s">
        <v>83</v>
      </c>
      <c r="B41" s="4" t="s">
        <v>84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/>
      <c r="N41" s="43"/>
      <c r="O41" s="43"/>
      <c r="P41" s="44">
        <f>SUM(C41:O41)</f>
        <v>0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8369.78054</v>
      </c>
      <c r="D43" s="43">
        <v>0</v>
      </c>
      <c r="E43" s="43">
        <v>-1.22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8368.56054</v>
      </c>
    </row>
    <row r="44" spans="1:16" customHeight="1" ht="12.75">
      <c r="A44" s="18" t="s">
        <v>89</v>
      </c>
      <c r="B44" s="4" t="s">
        <v>90</v>
      </c>
      <c r="C44" s="43">
        <v>2208.48971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2208.48971</v>
      </c>
    </row>
    <row r="45" spans="1:16" customHeight="1" ht="12.75">
      <c r="A45" s="18" t="s">
        <v>91</v>
      </c>
      <c r="B45" s="4" t="s">
        <v>92</v>
      </c>
      <c r="C45" s="43">
        <v>26617.52189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26617.52189</v>
      </c>
    </row>
    <row r="46" spans="1:16" customHeight="1" ht="12.75">
      <c r="A46" s="18" t="s">
        <v>93</v>
      </c>
      <c r="B46" s="4" t="s">
        <v>94</v>
      </c>
      <c r="C46" s="43">
        <v>0.28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0.28</v>
      </c>
    </row>
    <row r="47" spans="1:16" customHeight="1" ht="12.75">
      <c r="A47" s="18" t="s">
        <v>95</v>
      </c>
      <c r="B47" s="4" t="s">
        <v>96</v>
      </c>
      <c r="C47" s="43">
        <v>119.78995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119.78995</v>
      </c>
    </row>
    <row r="48" spans="1:16" customHeight="1" ht="12.75">
      <c r="A48" s="18" t="s">
        <v>97</v>
      </c>
      <c r="B48" s="4" t="s">
        <v>98</v>
      </c>
      <c r="C48" s="43">
        <v>15901.61135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15901.61135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2639.79915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2639.79915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5434.75333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5434.75333</v>
      </c>
    </row>
    <row r="55" spans="1:16" customHeight="1" ht="12.75">
      <c r="A55" s="18" t="s">
        <v>110</v>
      </c>
      <c r="B55" s="4" t="s">
        <v>111</v>
      </c>
      <c r="C55" s="43">
        <v>5990.73842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5990.73842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196.225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196.225</v>
      </c>
    </row>
    <row r="61" spans="1:16" customHeight="1" ht="12.75">
      <c r="A61" s="18" t="s">
        <v>122</v>
      </c>
      <c r="B61" s="4" t="s">
        <v>123</v>
      </c>
      <c r="C61" s="43">
        <v>2.25525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2.25525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1671.3938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1671.3938</v>
      </c>
    </row>
    <row r="67" spans="1:16" customHeight="1" ht="12.75">
      <c r="A67" s="18" t="s">
        <v>134</v>
      </c>
      <c r="B67" s="4" t="s">
        <v>135</v>
      </c>
      <c r="C67" s="43">
        <v>45</v>
      </c>
      <c r="D67" s="43">
        <v>0</v>
      </c>
      <c r="E67" s="43">
        <v>0</v>
      </c>
      <c r="F67" s="43">
        <v>-30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15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1182.24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1182.24</v>
      </c>
    </row>
    <row r="74" spans="1:16" customHeight="1" ht="12.75">
      <c r="A74" s="18" t="s">
        <v>147</v>
      </c>
      <c r="B74" s="4" t="s">
        <v>148</v>
      </c>
      <c r="C74" s="43">
        <v>9848.95034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9848.95034</v>
      </c>
    </row>
    <row r="75" spans="1:16" customHeight="1" ht="12.75">
      <c r="A75" s="18" t="s">
        <v>149</v>
      </c>
      <c r="B75" s="4" t="s">
        <v>150</v>
      </c>
      <c r="C75" s="43">
        <v>3509.07479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3509.07479</v>
      </c>
    </row>
    <row r="76" spans="1:16" customHeight="1" ht="12.75">
      <c r="A76" s="18" t="s">
        <v>151</v>
      </c>
      <c r="B76" s="4" t="s">
        <v>152</v>
      </c>
      <c r="C76" s="43">
        <v>41.89484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41.89484</v>
      </c>
    </row>
    <row r="77" spans="1:16" customHeight="1" ht="12.75">
      <c r="A77" s="18" t="s">
        <v>153</v>
      </c>
      <c r="B77" s="4" t="s">
        <v>154</v>
      </c>
      <c r="C77" s="43">
        <v>-340.7105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-340.7105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519.86836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519.86836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487206.59449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487206.59449</v>
      </c>
    </row>
    <row r="84" spans="1:16" customHeight="1" ht="12.75">
      <c r="A84" s="18" t="s">
        <v>166</v>
      </c>
      <c r="B84" s="4" t="s">
        <v>167</v>
      </c>
      <c r="C84" s="43">
        <v>74647.04881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74647.04881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-13872.9825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-13872.9825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684579.42937</v>
      </c>
      <c r="D107" s="47">
        <f>SUM(D38:D106)</f>
        <v>0</v>
      </c>
      <c r="E107" s="47">
        <f>SUM(E38:E106)</f>
        <v>-1.22</v>
      </c>
      <c r="F107" s="47">
        <f>SUM(F38:F106)</f>
        <v>-30</v>
      </c>
      <c r="G107" s="47">
        <f>SUM(G38:G106)</f>
        <v>0</v>
      </c>
      <c r="H107" s="47">
        <f>SUM(H38:H106)</f>
        <v>0</v>
      </c>
      <c r="I107" s="47">
        <f>SUM(I38:I106)</f>
        <v>0</v>
      </c>
      <c r="J107" s="47">
        <f>SUM(J38:J106)</f>
        <v>0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684548.20937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-43579.54937</v>
      </c>
      <c r="D109" s="49">
        <f>D36-D107</f>
        <v>0</v>
      </c>
      <c r="E109" s="49">
        <f>E36-E107</f>
        <v>1.22</v>
      </c>
      <c r="F109" s="49">
        <f>F36-F107</f>
        <v>30</v>
      </c>
      <c r="G109" s="49">
        <f>G36-G107</f>
        <v>0</v>
      </c>
      <c r="H109" s="49">
        <f>H36-H107</f>
        <v>0</v>
      </c>
      <c r="I109" s="49">
        <f>I36-I107</f>
        <v>0</v>
      </c>
      <c r="J109" s="49">
        <f>J36-J107</f>
        <v>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-43548.32937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-0.28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-0.28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-519.86836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-519.86836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4837.11188911</v>
      </c>
      <c r="D118" s="45">
        <v>239.11479979</v>
      </c>
      <c r="E118" s="45">
        <v>242.18936145</v>
      </c>
      <c r="F118" s="45">
        <v>247.44016442</v>
      </c>
      <c r="G118" s="45">
        <v>250.55449844</v>
      </c>
      <c r="H118" s="45">
        <v>251.59847551</v>
      </c>
      <c r="I118" s="45">
        <v>281.82156758</v>
      </c>
      <c r="J118" s="45">
        <v>282.99582411</v>
      </c>
      <c r="K118" s="45">
        <v>0</v>
      </c>
      <c r="L118" s="45">
        <v>0</v>
      </c>
      <c r="M118" s="45"/>
      <c r="N118" s="45"/>
      <c r="O118" s="45"/>
      <c r="P118" s="46">
        <f>SUM(C118:O118)</f>
        <v>6632.82658041</v>
      </c>
    </row>
    <row r="119" spans="1:16" customHeight="1" ht="12.75">
      <c r="A119" s="20">
        <v>4.3</v>
      </c>
      <c r="B119" s="15" t="s">
        <v>210</v>
      </c>
      <c r="C119" s="47">
        <f>SUM(C111:C118)</f>
        <v>4316.96352911</v>
      </c>
      <c r="D119" s="47">
        <f>SUM(D111:D118)</f>
        <v>239.11479979</v>
      </c>
      <c r="E119" s="47">
        <f>SUM(E111:E118)</f>
        <v>242.18936145</v>
      </c>
      <c r="F119" s="47">
        <f>SUM(F111:F118)</f>
        <v>247.44016442</v>
      </c>
      <c r="G119" s="47">
        <f>SUM(G111:G118)</f>
        <v>250.55449844</v>
      </c>
      <c r="H119" s="47">
        <f>SUM(H111:H118)</f>
        <v>251.59847551</v>
      </c>
      <c r="I119" s="47">
        <f>SUM(I111:I118)</f>
        <v>281.82156758</v>
      </c>
      <c r="J119" s="47">
        <f>SUM(J111:J118)</f>
        <v>282.99582411</v>
      </c>
      <c r="K119" s="47">
        <f>SUM(K111:K118)</f>
        <v>0</v>
      </c>
      <c r="L119" s="47">
        <f>SUM(L111:L118)</f>
        <v>0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6112.67822041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-47896.51289911</v>
      </c>
      <c r="D121" s="49">
        <f>D109-D119</f>
        <v>-239.11479979</v>
      </c>
      <c r="E121" s="49">
        <f>E109-E119</f>
        <v>-240.96936145</v>
      </c>
      <c r="F121" s="49">
        <f>F109-F119</f>
        <v>-217.44016442</v>
      </c>
      <c r="G121" s="49">
        <f>G109-G119</f>
        <v>-250.55449844</v>
      </c>
      <c r="H121" s="49">
        <f>H109-H119</f>
        <v>-251.59847551</v>
      </c>
      <c r="I121" s="49">
        <f>I109-I119</f>
        <v>-281.82156758</v>
      </c>
      <c r="J121" s="49">
        <f>J109-J119</f>
        <v>-282.99582411</v>
      </c>
      <c r="K121" s="49">
        <f>K109-K119</f>
        <v>0</v>
      </c>
      <c r="L121" s="49">
        <f>L109-L119</f>
        <v>0</v>
      </c>
      <c r="M121" s="49"/>
      <c r="N121" s="49"/>
      <c r="O121" s="49"/>
      <c r="P121" s="50">
        <f>P109-P119</f>
        <v>-49661.00759041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13939.0764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13939.0764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9292.7176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0</v>
      </c>
      <c r="M126" s="43"/>
      <c r="N126" s="43"/>
      <c r="O126" s="43"/>
      <c r="P126" s="44">
        <f>(P36-P18-P20-P33)*0.020000</f>
        <v>9292.7176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-71128.30689911</v>
      </c>
      <c r="D129" s="51">
        <f>D121-SUM(D125:D126)+IF(ISBLANK(D127), 0, D127)</f>
        <v>-239.11479979</v>
      </c>
      <c r="E129" s="51">
        <f>E121-SUM(E125:E126)+IF(ISBLANK(E127), 0, E127)</f>
        <v>-240.96936145</v>
      </c>
      <c r="F129" s="51">
        <f>F121-SUM(F125:F126)+IF(ISBLANK(F127), 0, F127)</f>
        <v>-217.44016442</v>
      </c>
      <c r="G129" s="51">
        <f>G121-SUM(G125:G126)+IF(ISBLANK(G127), 0, G127)</f>
        <v>-250.55449844</v>
      </c>
      <c r="H129" s="51">
        <f>H121-SUM(H125:H126)+IF(ISBLANK(H127), 0, H127)</f>
        <v>-251.59847551</v>
      </c>
      <c r="I129" s="51">
        <f>I121-SUM(I125:I126)+IF(ISBLANK(I127), 0, I127)</f>
        <v>-281.82156758</v>
      </c>
      <c r="J129" s="51">
        <f>J121-SUM(J125:J126)+IF(ISBLANK(J127), 0, J127)</f>
        <v>-282.99582411</v>
      </c>
      <c r="K129" s="51">
        <f>K121-SUM(K125:K126)+IF(ISBLANK(K127), 0, K127)</f>
        <v>0</v>
      </c>
      <c r="L129" s="51">
        <f>L121-SUM(L125:L126)+IF(ISBLANK(L127), 0, L127)</f>
        <v>0</v>
      </c>
      <c r="M129" s="51"/>
      <c r="N129" s="51"/>
      <c r="O129" s="51"/>
      <c r="P129" s="52">
        <f>P121-SUM(P125:P126)+IF(ISBLANK(P127), 0, P127)</f>
        <v>-72892.80159041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951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481117.47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481117.47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-8249.65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-8249.65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176363.65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176363.65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-8231.87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-8231.87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0.01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0.01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640999.61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640999.61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52639.81235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52639.81235</v>
      </c>
    </row>
    <row r="41" spans="1:16" customHeight="1" ht="12.75">
      <c r="A41" s="18" t="s">
        <v>83</v>
      </c>
      <c r="B41" s="4" t="s">
        <v>84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/>
      <c r="N41" s="43"/>
      <c r="O41" s="43"/>
      <c r="P41" s="44">
        <f>SUM(C41:O41)</f>
        <v>0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8369.78054</v>
      </c>
      <c r="D43" s="43">
        <v>0</v>
      </c>
      <c r="E43" s="43">
        <v>-1.22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8368.56054</v>
      </c>
    </row>
    <row r="44" spans="1:16" customHeight="1" ht="12.75">
      <c r="A44" s="18" t="s">
        <v>89</v>
      </c>
      <c r="B44" s="4" t="s">
        <v>90</v>
      </c>
      <c r="C44" s="43">
        <v>2207.86707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2207.86707</v>
      </c>
    </row>
    <row r="45" spans="1:16" customHeight="1" ht="12.75">
      <c r="A45" s="18" t="s">
        <v>91</v>
      </c>
      <c r="B45" s="4" t="s">
        <v>92</v>
      </c>
      <c r="C45" s="43">
        <v>26628.47139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1.5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26629.97139</v>
      </c>
    </row>
    <row r="46" spans="1:16" customHeight="1" ht="12.75">
      <c r="A46" s="18" t="s">
        <v>93</v>
      </c>
      <c r="B46" s="4" t="s">
        <v>94</v>
      </c>
      <c r="C46" s="43">
        <v>0.28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0.28</v>
      </c>
    </row>
    <row r="47" spans="1:16" customHeight="1" ht="12.75">
      <c r="A47" s="18" t="s">
        <v>95</v>
      </c>
      <c r="B47" s="4" t="s">
        <v>96</v>
      </c>
      <c r="C47" s="43">
        <v>119.78995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119.78995</v>
      </c>
    </row>
    <row r="48" spans="1:16" customHeight="1" ht="12.75">
      <c r="A48" s="18" t="s">
        <v>97</v>
      </c>
      <c r="B48" s="4" t="s">
        <v>98</v>
      </c>
      <c r="C48" s="43">
        <v>15901.61135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15901.61135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2632.12915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2632.12915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5434.75333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5434.75333</v>
      </c>
    </row>
    <row r="55" spans="1:16" customHeight="1" ht="12.75">
      <c r="A55" s="18" t="s">
        <v>110</v>
      </c>
      <c r="B55" s="4" t="s">
        <v>111</v>
      </c>
      <c r="C55" s="43">
        <v>5990.73842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5990.73842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196.225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196.225</v>
      </c>
    </row>
    <row r="61" spans="1:16" customHeight="1" ht="12.75">
      <c r="A61" s="18" t="s">
        <v>122</v>
      </c>
      <c r="B61" s="4" t="s">
        <v>123</v>
      </c>
      <c r="C61" s="43">
        <v>2.25525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2.25525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1671.3938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1671.3938</v>
      </c>
    </row>
    <row r="67" spans="1:16" customHeight="1" ht="12.75">
      <c r="A67" s="18" t="s">
        <v>134</v>
      </c>
      <c r="B67" s="4" t="s">
        <v>135</v>
      </c>
      <c r="C67" s="43">
        <v>45</v>
      </c>
      <c r="D67" s="43">
        <v>0</v>
      </c>
      <c r="E67" s="43">
        <v>0</v>
      </c>
      <c r="F67" s="43">
        <v>-30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15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1182.24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1182.24</v>
      </c>
    </row>
    <row r="74" spans="1:16" customHeight="1" ht="12.75">
      <c r="A74" s="18" t="s">
        <v>147</v>
      </c>
      <c r="B74" s="4" t="s">
        <v>148</v>
      </c>
      <c r="C74" s="43">
        <v>9711.55043</v>
      </c>
      <c r="D74" s="43">
        <v>0</v>
      </c>
      <c r="E74" s="43">
        <v>0</v>
      </c>
      <c r="F74" s="43">
        <v>16.28056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9727.83099</v>
      </c>
    </row>
    <row r="75" spans="1:16" customHeight="1" ht="12.75">
      <c r="A75" s="18" t="s">
        <v>149</v>
      </c>
      <c r="B75" s="4" t="s">
        <v>150</v>
      </c>
      <c r="C75" s="43">
        <v>3509.07479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3509.07479</v>
      </c>
    </row>
    <row r="76" spans="1:16" customHeight="1" ht="12.75">
      <c r="A76" s="18" t="s">
        <v>151</v>
      </c>
      <c r="B76" s="4" t="s">
        <v>152</v>
      </c>
      <c r="C76" s="43">
        <v>41.89484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41.89484</v>
      </c>
    </row>
    <row r="77" spans="1:16" customHeight="1" ht="12.75">
      <c r="A77" s="18" t="s">
        <v>153</v>
      </c>
      <c r="B77" s="4" t="s">
        <v>154</v>
      </c>
      <c r="C77" s="43">
        <v>-340.7105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-340.7105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519.86836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519.86836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483175.27277</v>
      </c>
      <c r="D83" s="43">
        <v>252.49728</v>
      </c>
      <c r="E83" s="43">
        <v>252.49728</v>
      </c>
      <c r="F83" s="43">
        <v>252.49728</v>
      </c>
      <c r="G83" s="43">
        <v>252.49728</v>
      </c>
      <c r="H83" s="43">
        <v>0</v>
      </c>
      <c r="I83" s="43">
        <v>681.75607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484867.01796</v>
      </c>
    </row>
    <row r="84" spans="1:16" customHeight="1" ht="12.75">
      <c r="A84" s="18" t="s">
        <v>166</v>
      </c>
      <c r="B84" s="4" t="s">
        <v>167</v>
      </c>
      <c r="C84" s="43">
        <v>76343.97428</v>
      </c>
      <c r="D84" s="43">
        <v>166.13498</v>
      </c>
      <c r="E84" s="43">
        <v>166.13498</v>
      </c>
      <c r="F84" s="43">
        <v>166.13498</v>
      </c>
      <c r="G84" s="43">
        <v>166.13498</v>
      </c>
      <c r="H84" s="43">
        <v>0</v>
      </c>
      <c r="I84" s="43">
        <v>-2758.15518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74250.35902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-10866.26914</v>
      </c>
      <c r="D86" s="43">
        <v>81.36774</v>
      </c>
      <c r="E86" s="43">
        <v>81.36774</v>
      </c>
      <c r="F86" s="43">
        <v>81.36774</v>
      </c>
      <c r="G86" s="43">
        <v>81.36774</v>
      </c>
      <c r="H86" s="43">
        <v>0</v>
      </c>
      <c r="I86" s="43">
        <v>219.69723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-10321.10095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-14778.60301</v>
      </c>
      <c r="D88" s="43">
        <v>0</v>
      </c>
      <c r="E88" s="43">
        <v>0</v>
      </c>
      <c r="F88" s="43">
        <v>531.72279</v>
      </c>
      <c r="G88" s="43">
        <v>0</v>
      </c>
      <c r="H88" s="43">
        <v>0</v>
      </c>
      <c r="I88" s="43">
        <v>8857.1455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-5389.73472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670338.40042</v>
      </c>
      <c r="D107" s="47">
        <f>SUM(D38:D106)</f>
        <v>500</v>
      </c>
      <c r="E107" s="47">
        <f>SUM(E38:E106)</f>
        <v>498.78</v>
      </c>
      <c r="F107" s="47">
        <f>SUM(F38:F106)</f>
        <v>1018.00335</v>
      </c>
      <c r="G107" s="47">
        <f>SUM(G38:G106)</f>
        <v>500</v>
      </c>
      <c r="H107" s="47">
        <f>SUM(H38:H106)</f>
        <v>0</v>
      </c>
      <c r="I107" s="47">
        <f>SUM(I38:I106)</f>
        <v>7001.94362</v>
      </c>
      <c r="J107" s="47">
        <f>SUM(J38:J106)</f>
        <v>0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679857.12739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-29338.79042</v>
      </c>
      <c r="D109" s="49">
        <f>D36-D107</f>
        <v>-500</v>
      </c>
      <c r="E109" s="49">
        <f>E36-E107</f>
        <v>-498.78</v>
      </c>
      <c r="F109" s="49">
        <f>F36-F107</f>
        <v>-1018.00335</v>
      </c>
      <c r="G109" s="49">
        <f>G36-G107</f>
        <v>-500</v>
      </c>
      <c r="H109" s="49">
        <f>H36-H107</f>
        <v>0</v>
      </c>
      <c r="I109" s="49">
        <f>I36-I107</f>
        <v>-7001.94362</v>
      </c>
      <c r="J109" s="49">
        <f>J36-J107</f>
        <v>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-38857.51739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-0.28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-0.28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-519.86836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-519.86836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4837.11188911</v>
      </c>
      <c r="D118" s="45">
        <f>(D109-SUM(D111:D116)-D125-D126+D127)*-0.05/12</f>
        <v>239.11479978796</v>
      </c>
      <c r="E118" s="45">
        <f>(E109-SUM(E111:E116)-E125-E126+E127)*-0.05/12</f>
        <v>242.18936145374</v>
      </c>
      <c r="F118" s="45">
        <f>(F109-SUM(F111:F116)-F125-F126+F127)*-0.05/12</f>
        <v>247.44016441813</v>
      </c>
      <c r="G118" s="45">
        <f>(G109-SUM(G111:G116)-G125-G126+G127)*-0.05/12</f>
        <v>250.55449843654</v>
      </c>
      <c r="H118" s="45">
        <f>(H109-SUM(H111:H116)-H125-H126+H127)*-0.05/12</f>
        <v>251.59847551336</v>
      </c>
      <c r="I118" s="45">
        <f>(I109-SUM(I111:I116)-I125-I126+I127)*-0.05/12</f>
        <v>281.821567578</v>
      </c>
      <c r="J118" s="45">
        <f>(J109-SUM(J111:J116)-J125-J126+J127)*-0.05/12</f>
        <v>282.99582410957</v>
      </c>
      <c r="K118" s="45">
        <f>(K109-SUM(K111:K116)-K125-K126+K127)*-0.05/12</f>
        <v>284.1749733767</v>
      </c>
      <c r="L118" s="45">
        <f>(L109-SUM(L111:L116)-L125-L126+L127)*-0.05/12</f>
        <v>285.35903576577</v>
      </c>
      <c r="M118" s="45"/>
      <c r="N118" s="45"/>
      <c r="O118" s="45"/>
      <c r="P118" s="46">
        <f>SUM(C118:O118)</f>
        <v>7202.3605895498</v>
      </c>
    </row>
    <row r="119" spans="1:16" customHeight="1" ht="12.75">
      <c r="A119" s="20">
        <v>4.3</v>
      </c>
      <c r="B119" s="15" t="s">
        <v>210</v>
      </c>
      <c r="C119" s="47">
        <f>SUM(C111:C118)</f>
        <v>4316.96352911</v>
      </c>
      <c r="D119" s="47">
        <f>SUM(D111:D118)</f>
        <v>239.11479978796</v>
      </c>
      <c r="E119" s="47">
        <f>SUM(E111:E118)</f>
        <v>242.18936145374</v>
      </c>
      <c r="F119" s="47">
        <f>SUM(F111:F118)</f>
        <v>247.44016441813</v>
      </c>
      <c r="G119" s="47">
        <f>SUM(G111:G118)</f>
        <v>250.55449843654</v>
      </c>
      <c r="H119" s="47">
        <f>SUM(H111:H118)</f>
        <v>251.59847551336</v>
      </c>
      <c r="I119" s="47">
        <f>SUM(I111:I118)</f>
        <v>281.821567578</v>
      </c>
      <c r="J119" s="47">
        <f>SUM(J111:J118)</f>
        <v>282.99582410957</v>
      </c>
      <c r="K119" s="47">
        <f>SUM(K111:K118)</f>
        <v>284.1749733767</v>
      </c>
      <c r="L119" s="47">
        <f>SUM(L111:L118)</f>
        <v>285.35903576577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6682.2122295498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-33655.75394911</v>
      </c>
      <c r="D121" s="49">
        <f>D109-D119</f>
        <v>-739.11479978796</v>
      </c>
      <c r="E121" s="49">
        <f>E109-E119</f>
        <v>-740.96936145374</v>
      </c>
      <c r="F121" s="49">
        <f>F109-F119</f>
        <v>-1265.4435144181</v>
      </c>
      <c r="G121" s="49">
        <f>G109-G119</f>
        <v>-750.55449843654</v>
      </c>
      <c r="H121" s="49">
        <f>H109-H119</f>
        <v>-251.59847551336</v>
      </c>
      <c r="I121" s="49">
        <f>I109-I119</f>
        <v>-7283.765187578</v>
      </c>
      <c r="J121" s="49">
        <f>J109-J119</f>
        <v>-282.99582410957</v>
      </c>
      <c r="K121" s="49">
        <f>K109-K119</f>
        <v>-284.1749733767</v>
      </c>
      <c r="L121" s="49">
        <f>L109-L119</f>
        <v>-285.35903576577</v>
      </c>
      <c r="M121" s="49"/>
      <c r="N121" s="49"/>
      <c r="O121" s="49"/>
      <c r="P121" s="50">
        <f>P109-P119</f>
        <v>-45539.72961955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13939.0788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13939.0788</v>
      </c>
    </row>
    <row r="126" spans="1:16" customHeight="1" ht="12.75">
      <c r="A126" s="18" t="s">
        <v>216</v>
      </c>
      <c r="B126" s="4" t="s">
        <v>217</v>
      </c>
      <c r="C126" s="43">
        <f>(C36-C18-C20-C33)*0.020000</f>
        <v>9292.7192</v>
      </c>
      <c r="D126" s="43">
        <f>(D36-D18-D20-D33)*0.020000</f>
        <v>0</v>
      </c>
      <c r="E126" s="43">
        <f>(E36-E18-E20-E33)*0.020000</f>
        <v>0</v>
      </c>
      <c r="F126" s="43">
        <f>(F36-F18-F20-F33)*0.020000</f>
        <v>0</v>
      </c>
      <c r="G126" s="43">
        <f>(G36-G18-G20-G33)*0.020000</f>
        <v>0</v>
      </c>
      <c r="H126" s="43">
        <f>(H36-H18-H20-H33)*0.020000</f>
        <v>0</v>
      </c>
      <c r="I126" s="43">
        <f>(I36-I18-I20-I33)*0.020000</f>
        <v>0</v>
      </c>
      <c r="J126" s="43">
        <f>(J36-J18-J20-J33)*0.020000</f>
        <v>0</v>
      </c>
      <c r="K126" s="43">
        <f>(K36-K18-K20-K33)*0.020000</f>
        <v>0</v>
      </c>
      <c r="L126" s="43">
        <f>(L36-L18-L20-L33)*0.020000</f>
        <v>0</v>
      </c>
      <c r="M126" s="43"/>
      <c r="N126" s="43"/>
      <c r="O126" s="43"/>
      <c r="P126" s="44">
        <f>(P36-P18-P20-P33)*0.020000</f>
        <v>9292.7192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-56887.55194911</v>
      </c>
      <c r="E127" s="43">
        <f>D129</f>
        <v>-57626.666748898</v>
      </c>
      <c r="F127" s="43">
        <f>E129</f>
        <v>-58367.636110352</v>
      </c>
      <c r="G127" s="43">
        <f>F129</f>
        <v>-59633.07962477</v>
      </c>
      <c r="H127" s="43">
        <f>G129</f>
        <v>-60383.634123206</v>
      </c>
      <c r="I127" s="43">
        <f>H129</f>
        <v>-60635.23259872</v>
      </c>
      <c r="J127" s="43">
        <f>I129</f>
        <v>-67918.997786298</v>
      </c>
      <c r="K127" s="43">
        <f>J129</f>
        <v>-68201.993610407</v>
      </c>
      <c r="L127" s="43">
        <f>K129</f>
        <v>-68486.168583784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-56887.55194911</v>
      </c>
      <c r="D129" s="51">
        <f>D121-SUM(D125:D126)+IF(ISBLANK(D127), 0, D127)</f>
        <v>-57626.666748898</v>
      </c>
      <c r="E129" s="51">
        <f>E121-SUM(E125:E126)+IF(ISBLANK(E127), 0, E127)</f>
        <v>-58367.636110352</v>
      </c>
      <c r="F129" s="51">
        <f>F121-SUM(F125:F126)+IF(ISBLANK(F127), 0, F127)</f>
        <v>-59633.07962477</v>
      </c>
      <c r="G129" s="51">
        <f>G121-SUM(G125:G126)+IF(ISBLANK(G127), 0, G127)</f>
        <v>-60383.634123206</v>
      </c>
      <c r="H129" s="51">
        <f>H121-SUM(H125:H126)+IF(ISBLANK(H127), 0, H127)</f>
        <v>-60635.23259872</v>
      </c>
      <c r="I129" s="51">
        <f>I121-SUM(I125:I126)+IF(ISBLANK(I127), 0, I127)</f>
        <v>-67918.997786298</v>
      </c>
      <c r="J129" s="51">
        <f>J121-SUM(J125:J126)+IF(ISBLANK(J127), 0, J127)</f>
        <v>-68201.993610407</v>
      </c>
      <c r="K129" s="51">
        <f>K121-SUM(K125:K126)+IF(ISBLANK(K127), 0, K127)</f>
        <v>-68486.168583784</v>
      </c>
      <c r="L129" s="51">
        <f>L121-SUM(L125:L126)+IF(ISBLANK(L127), 0, L127)</f>
        <v>-68771.52761955</v>
      </c>
      <c r="M129" s="51"/>
      <c r="N129" s="51"/>
      <c r="O129" s="51"/>
      <c r="P129" s="52">
        <f>P121-SUM(P125:P126)+IF(ISBLANK(P127), 0, P127)</f>
        <v>-68771.52761955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