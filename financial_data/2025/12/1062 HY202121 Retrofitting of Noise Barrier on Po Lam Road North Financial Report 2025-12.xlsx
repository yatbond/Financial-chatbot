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<sst xmlns="http://schemas.openxmlformats.org/spreadsheetml/2006/main" uniqueCount="237">
  <si>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Chun Wo Construction &amp; Engineering Company Limited</t>
  </si>
  <si>
    <t>Print Date: 2026-01-16</t>
  </si>
  <si>
    <t>Project Code:</t>
  </si>
  <si>
    <t>Project Name:</t>
  </si>
  <si>
    <t>Contract No. HY/2021/21 - Retrofitting of Noise Barrier on Po Lam Road North (near King Ming Court)</t>
  </si>
  <si>
    <t>Report Date:</t>
  </si>
  <si>
    <t>2025-12-31</t>
  </si>
  <si>
    <t>Start Date:</t>
  </si>
  <si>
    <t>2022-06-30</t>
  </si>
  <si>
    <t>Monthly Financial Report</t>
  </si>
  <si>
    <t>Complete Date:</t>
  </si>
  <si>
    <t>2025-06-04                                Time Consumed (%):</t>
  </si>
  <si>
    <t>Confidential</t>
  </si>
  <si>
    <t>Target Complete Date:</t>
  </si>
  <si>
    <t>2025-07-31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</si>
  <si>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</si>
  <si>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</si>
  <si>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</si>
  <si>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</si>
  <si>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</si>
  <si>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</si>
  <si>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</si>
  <si>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</si>
  <si>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</si>
  <si>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</si>
  <si>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</si>
  <si>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</si>
  <si>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</si>
  <si>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</si>
  <si>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</si>
  <si>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</si>
  <si>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</si>
  <si>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</si>
  <si>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</si>
  <si>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</si>
  <si>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</si>
  <si>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</si>
  <si>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</si>
  <si>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</si>
  <si>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</si>
  <si>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</si>
  <si>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</si>
  <si>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</si>
  <si>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</si>
  <si>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</si>
  <si>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</si>
  <si>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</si>
  <si>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</si>
  <si>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</si>
  <si>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</si>
  <si>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</si>
  <si>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</si>
  <si>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</si>
  <si>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</si>
  <si>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</si>
  <si>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</si>
  <si>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</si>
  <si>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</si>
  <si>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</si>
  <si>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</si>
  <si>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</si>
  <si>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</si>
  <si>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</si>
  <si>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</si>
  <si>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</si>
  <si>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</si>
  <si>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</si>
  <si>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</si>
  <si>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</si>
  <si>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</si>
  <si>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</si>
  <si>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</si>
  <si>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</si>
  <si>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</si>
  <si>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</si>
  <si>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</si>
  <si>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</si>
  <si>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</si>
  <si>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</si>
  <si>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</si>
  <si>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</si>
  <si>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</si>
  <si>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</si>
  <si>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</si>
  <si>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</si>
  <si>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</si>
  <si>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</si>
  <si>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</si>
  <si>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</si>
  <si>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</si>
  <si>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</si>
  <si>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</si>
  <si>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</si>
  <si>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</si>
  <si>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</si>
  <si>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</si>
  <si>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</si>
  <si>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</si>
  <si>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</si>
  <si>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</si>
  <si>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</si>
  <si>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</si>
  <si>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</si>
  <si>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</si>
  <si>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</si>
  <si>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</si>
  <si>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</si>
  <si>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</si>
  <si>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</si>
  <si>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</si>
  <si>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</si>
  <si>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</si>
  <si>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</si>
  <si>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</si>
  <si>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</si>
  <si>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</si>
  <si>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</si>
  <si>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</si>
  <si>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</si>
  <si>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</si>
  <si>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</si>
  <si>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</si>
  <si>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</si>
  <si>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</si>
  <si>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</si>
  <si>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</si>
  <si>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</si>
  <si>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</si>
  <si>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</si>
  <si>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</si>
  <si>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</si>
  <si>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</si>
  <si>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</si>
  <si>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</si>
  <si>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</si>
  <si>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</si>
  <si>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</si>
  <si>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</si>
  <si>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</si>
  <si>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</si>
  <si>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</si>
  <si>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</si>
  <si>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</si>
  <si>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</si>
  <si>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</si>
  <si>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</si>
  <si>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</si>
  <si>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</si>
  <si>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</si>
  <si>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</si>
  <si>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</si>
  <si>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</si>
  <si>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</si>
  <si>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</si>
  <si>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</si>
  <si>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</si>
  <si>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</si>
  <si>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</si>
  <si>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</si>
  <si>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</si>
  <si>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</si>
  <si>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</si>
  <si>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</si>
  <si>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</si>
  <si>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</si>
  <si>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</si>
  <si>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</si>
  <si>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</si>
  <si>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</si>
  <si>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</si>
  <si>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</si>
  <si>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</si>
  <si>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</si>
  <si>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</si>
  <si>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</si>
  <si>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</si>
  <si>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</si>
  <si>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</si>
  <si>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</si>
  <si>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</si>
  <si>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</si>
  <si>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</si>
  <si>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</si>
  <si>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</si>
  <si>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</si>
  <si>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</si>
  <si>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</si>
  <si>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</si>
  <si>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</si>
  <si>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</si>
  <si>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</si>
  <si>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</si>
  <si>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</si>
  <si>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</si>
  <si>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</si>
  <si>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</si>
  <si>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</si>
  <si>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</si>
  <si>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</si>
  <si>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</si>
  <si>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</si>
  <si>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</si>
  <si>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</si>
  <si>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</si>
  <si>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</si>
  <si>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</si>
  <si>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</si>
  <si>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</si>
  <si>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</si>
  <si>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</si>
  <si>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</si>
  <si>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</si>
  <si>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</si>
  <si>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</si>
  <si>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</si>
  <si>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</si>
  <si>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</si>
  <si>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(0.0000%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</si>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</sst>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1062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0</v>
      </c>
      <c r="D17" s="43">
        <v>0</v>
      </c>
      <c r="E17" s="43">
        <v>0</v>
      </c>
      <c r="F17" s="43">
        <f>D17+E17</f>
        <v>0</v>
      </c>
      <c r="G17" s="43">
        <v>26122</v>
      </c>
      <c r="H17" s="43">
        <v>26122</v>
      </c>
      <c r="I17" s="43">
        <f>IF(H17="", "", J17-H17)</f>
        <v>6500</v>
      </c>
      <c r="J17" s="43">
        <f>IF(ISBLANK(Projection!P14), "", Projection!P14)</f>
        <v>32622</v>
      </c>
      <c r="K17" s="43">
        <f>IF(ISBLANK('Committed Cost'!P14), "", 'Committed Cost'!P14)</f>
        <v>21004</v>
      </c>
      <c r="L17" s="37">
        <f>IFERROR(IF(ISBLANK(F17), "", K17/F17), 0)</f>
        <v>0</v>
      </c>
      <c r="M17" s="43">
        <f>IF(F17="", "", F17-K17)</f>
        <v>-21004</v>
      </c>
      <c r="N17" s="43">
        <f>IF(ISBLANK(Accrual!P14), "", Accrual!P14)</f>
        <v>37935.79363</v>
      </c>
      <c r="O17" s="43">
        <f>IF(ISBLANK('Cash Flow'!P14), "",'Cash Flow'!P14)</f>
        <v>30982.18681</v>
      </c>
      <c r="P17" s="37">
        <f>IFERROR(IF(O17="", "", O17/K17), 0)</f>
        <v>1.4750612649971</v>
      </c>
      <c r="Q17" s="44">
        <f>IF(K17="", "", K17-O17)</f>
        <v>-9978.18681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 hidden="true">
      <c r="A19" s="18" t="s">
        <v>52</v>
      </c>
      <c r="B19" s="4" t="s">
        <v>53</v>
      </c>
      <c r="C19" s="43">
        <v>0</v>
      </c>
      <c r="D19" s="43">
        <v>0</v>
      </c>
      <c r="E19" s="43">
        <v>0</v>
      </c>
      <c r="F19" s="43">
        <f>D19+E19</f>
        <v>0</v>
      </c>
      <c r="G19" s="43">
        <v>0</v>
      </c>
      <c r="H19" s="43">
        <v>0</v>
      </c>
      <c r="I19" s="43">
        <f>IF(H19="", "", J19-H19)</f>
        <v>0</v>
      </c>
      <c r="J19" s="43">
        <f>IF(ISBLANK(Projection!P16), "", Projection!P16)</f>
        <v>0</v>
      </c>
      <c r="K19" s="43">
        <f>IF(ISBLANK('Committed Cost'!P16), "", 'Committed Cost'!P16)</f>
        <v>0</v>
      </c>
      <c r="L19" s="37">
        <f>IFERROR(IF(ISBLANK(F19), "", K19/F19), 0)</f>
        <v>0</v>
      </c>
      <c r="M19" s="43">
        <f>IF(F19="", "", F19-K19)</f>
        <v>0</v>
      </c>
      <c r="N19" s="43">
        <f>IF(ISBLANK(Accrual!P16), "", Accrual!P16)</f>
        <v>0</v>
      </c>
      <c r="O19" s="43">
        <f>IF(ISBLANK('Cash Flow'!P16), "",'Cash Flow'!P16)</f>
        <v>0</v>
      </c>
      <c r="P19" s="37">
        <f>IFERROR(IF(O19="", "", O19/K19), 0)</f>
        <v>0</v>
      </c>
      <c r="Q19" s="44">
        <f>IF(K19="", "", K19-O19)</f>
        <v>0</v>
      </c>
    </row>
    <row r="20" spans="1:18" customHeight="1" ht="12.75" hidden="true">
      <c r="A20" s="18" t="s">
        <v>54</v>
      </c>
      <c r="B20" s="4" t="s">
        <v>55</v>
      </c>
      <c r="C20" s="43">
        <v>0</v>
      </c>
      <c r="D20" s="43">
        <v>0</v>
      </c>
      <c r="E20" s="43">
        <v>0</v>
      </c>
      <c r="F20" s="43">
        <f>D20+E20</f>
        <v>0</v>
      </c>
      <c r="G20" s="43">
        <v>0</v>
      </c>
      <c r="H20" s="43">
        <v>0</v>
      </c>
      <c r="I20" s="43">
        <f>IF(H20="", "", J20-H20)</f>
        <v>0</v>
      </c>
      <c r="J20" s="43">
        <f>IF(ISBLANK(Projection!P17), "", Projection!P17)</f>
        <v>0</v>
      </c>
      <c r="K20" s="43">
        <f>IF(ISBLANK('Committed Cost'!P17), "", 'Committed Cost'!P17)</f>
        <v>0</v>
      </c>
      <c r="L20" s="37">
        <f>IFERROR(IF(ISBLANK(F20), "", K20/F20), 0)</f>
        <v>0</v>
      </c>
      <c r="M20" s="43">
        <f>IF(F20="", "", F20-K20)</f>
        <v>0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0</v>
      </c>
    </row>
    <row r="21" spans="1:18" customHeight="1" ht="12.75" hidden="true">
      <c r="A21" s="18">
        <v>1.3</v>
      </c>
      <c r="B21" s="4" t="s">
        <v>56</v>
      </c>
      <c r="C21" s="43">
        <v>0</v>
      </c>
      <c r="D21" s="43">
        <v>0</v>
      </c>
      <c r="E21" s="43">
        <v>0</v>
      </c>
      <c r="F21" s="43">
        <f>D21+E21</f>
        <v>0</v>
      </c>
      <c r="G21" s="43">
        <v>0</v>
      </c>
      <c r="H21" s="43">
        <v>0</v>
      </c>
      <c r="I21" s="43">
        <f>IF(H21="", "", J21-H21)</f>
        <v>0</v>
      </c>
      <c r="J21" s="43">
        <f>IF(ISBLANK(Projection!P18), "", Projection!P18)</f>
        <v>0</v>
      </c>
      <c r="K21" s="43">
        <f>IF(ISBLANK('Committed Cost'!P18), "", 'Committed Cost'!P18)</f>
        <v>0</v>
      </c>
      <c r="L21" s="37">
        <f>IFERROR(IF(ISBLANK(F21), "", K21/F21), 0)</f>
        <v>0</v>
      </c>
      <c r="M21" s="43">
        <f>IF(F21="", "", F21-K21)</f>
        <v>0</v>
      </c>
      <c r="N21" s="43">
        <f>IF(ISBLANK(Accrual!P18), "", Accrual!P18)</f>
        <v>0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0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 hidden="true">
      <c r="A23" s="18">
        <v>1.5</v>
      </c>
      <c r="B23" s="4" t="s">
        <v>58</v>
      </c>
      <c r="C23" s="43">
        <v>0</v>
      </c>
      <c r="D23" s="43">
        <v>0</v>
      </c>
      <c r="E23" s="43">
        <v>0</v>
      </c>
      <c r="F23" s="43">
        <f>D23+E23</f>
        <v>0</v>
      </c>
      <c r="G23" s="43">
        <v>0</v>
      </c>
      <c r="H23" s="43">
        <v>0</v>
      </c>
      <c r="I23" s="43">
        <f>IF(H23="", "", J23-H23)</f>
        <v>0</v>
      </c>
      <c r="J23" s="43">
        <f>IF(ISBLANK(Projection!P20), "", Projection!P20)</f>
        <v>0</v>
      </c>
      <c r="K23" s="43">
        <f>IF(ISBLANK('Committed Cost'!P20), "", 'Committed Cost'!P20)</f>
        <v>0</v>
      </c>
      <c r="L23" s="37">
        <f>IFERROR(IF(ISBLANK(F23), "", K23/F23), 0)</f>
        <v>0</v>
      </c>
      <c r="M23" s="43">
        <f>IF(F23="", "", F23-K23)</f>
        <v>0</v>
      </c>
      <c r="N23" s="43">
        <f>IF(ISBLANK(Accrual!P20), "", Accrual!P20)</f>
        <v>0</v>
      </c>
      <c r="O23" s="43">
        <f>IF(ISBLANK('Cash Flow'!P20), "",'Cash Flow'!P20)</f>
        <v>0</v>
      </c>
      <c r="P23" s="37">
        <f>IFERROR(IF(O23="", "", O23/K23), 0)</f>
        <v>0</v>
      </c>
      <c r="Q23" s="44">
        <f>IF(K23="", "", K23-O23)</f>
        <v>0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 hidden="true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 hidden="true">
      <c r="A26" s="18">
        <v>1.8</v>
      </c>
      <c r="B26" s="4" t="s">
        <v>61</v>
      </c>
      <c r="C26" s="43">
        <v>0</v>
      </c>
      <c r="D26" s="43">
        <v>0</v>
      </c>
      <c r="E26" s="43">
        <v>0</v>
      </c>
      <c r="F26" s="43">
        <f>D26+E26</f>
        <v>0</v>
      </c>
      <c r="G26" s="43">
        <v>0</v>
      </c>
      <c r="H26" s="43">
        <v>0</v>
      </c>
      <c r="I26" s="43">
        <f>IF(H26="", "", J26-H26)</f>
        <v>0</v>
      </c>
      <c r="J26" s="43">
        <f>IF(ISBLANK(Projection!P23), "", Projection!P23)</f>
        <v>0</v>
      </c>
      <c r="K26" s="43">
        <f>IF(ISBLANK('Committed Cost'!P23), "", 'Committed Cost'!P23)</f>
        <v>0</v>
      </c>
      <c r="L26" s="37">
        <f>IFERROR(IF(ISBLANK(F26), "", K26/F26), 0)</f>
        <v>0</v>
      </c>
      <c r="M26" s="43">
        <f>IF(F26="", "", F26-K26)</f>
        <v>0</v>
      </c>
      <c r="N26" s="43">
        <f>IF(ISBLANK(Accrual!P23), "", Accrual!P23)</f>
        <v>0</v>
      </c>
      <c r="O26" s="43">
        <f>IF(ISBLANK('Cash Flow'!P23), "",'Cash Flow'!P23)</f>
        <v>0</v>
      </c>
      <c r="P26" s="37">
        <f>IFERROR(IF(O26="", "", O26/K26), 0)</f>
        <v>0</v>
      </c>
      <c r="Q26" s="44">
        <f>IF(K26="", "", K26-O26)</f>
        <v>0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0</v>
      </c>
      <c r="E28" s="43">
        <v>0</v>
      </c>
      <c r="F28" s="43">
        <f>D28+E28</f>
        <v>0</v>
      </c>
      <c r="G28" s="43">
        <v>0</v>
      </c>
      <c r="H28" s="43">
        <v>0</v>
      </c>
      <c r="I28" s="43">
        <f>IF(H28="", "", J28-H28)</f>
        <v>0</v>
      </c>
      <c r="J28" s="43">
        <f>IF(ISBLANK(Projection!P25), "", Projection!P25)</f>
        <v>0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0</v>
      </c>
      <c r="N28" s="43">
        <f>IF(ISBLANK(Accrual!P25), "", Accrual!P25)</f>
        <v>0</v>
      </c>
      <c r="O28" s="43">
        <f>IF(ISBLANK('Cash Flow'!P25), "",'Cash Flow'!P25)</f>
        <v>7090.0695</v>
      </c>
      <c r="P28" s="37">
        <f>IFERROR(IF(O28="", "", O28/K28), 0)</f>
        <v>0</v>
      </c>
      <c r="Q28" s="44">
        <f>IF(K28="", "", K28-O28)</f>
        <v>-7090.0695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>
      <c r="A31" s="18" t="s">
        <v>67</v>
      </c>
      <c r="B31" s="4" t="s">
        <v>68</v>
      </c>
      <c r="C31" s="43">
        <v>0</v>
      </c>
      <c r="D31" s="43">
        <v>0</v>
      </c>
      <c r="E31" s="43">
        <v>0</v>
      </c>
      <c r="F31" s="43">
        <f>D31+E31</f>
        <v>0</v>
      </c>
      <c r="G31" s="43">
        <v>23211</v>
      </c>
      <c r="H31" s="43">
        <v>23211</v>
      </c>
      <c r="I31" s="43">
        <f>IF(H31="", "", J31-H31)</f>
        <v>-5944</v>
      </c>
      <c r="J31" s="43">
        <f>IF(ISBLANK(Projection!P28), "", Projection!P28)</f>
        <v>17267</v>
      </c>
      <c r="K31" s="43">
        <f>IF(ISBLANK('Committed Cost'!P28), "", 'Committed Cost'!P28)</f>
        <v>10322</v>
      </c>
      <c r="L31" s="37">
        <f>IFERROR(IF(ISBLANK(F31), "", K31/F31), 0)</f>
        <v>0</v>
      </c>
      <c r="M31" s="43">
        <f>IF(F31="", "", F31-K31)</f>
        <v>-10322</v>
      </c>
      <c r="N31" s="43">
        <f>IF(ISBLANK(Accrual!P28), "", Accrual!P28)</f>
        <v>1177.07</v>
      </c>
      <c r="O31" s="43">
        <f>IF(ISBLANK('Cash Flow'!P28), "",'Cash Flow'!P28)</f>
        <v>3359.76</v>
      </c>
      <c r="P31" s="37">
        <f>IFERROR(IF(O31="", "", O31/K31), 0)</f>
        <v>0.32549505909707</v>
      </c>
      <c r="Q31" s="44">
        <f>IF(K31="", "", K31-O31)</f>
        <v>6962.24</v>
      </c>
    </row>
    <row r="32" spans="1:18" customHeight="1" ht="12.75" hidden="true">
      <c r="A32" s="18" t="s">
        <v>69</v>
      </c>
      <c r="B32" s="4" t="s">
        <v>70</v>
      </c>
      <c r="C32" s="43">
        <v>0</v>
      </c>
      <c r="D32" s="43">
        <v>0</v>
      </c>
      <c r="E32" s="43">
        <v>0</v>
      </c>
      <c r="F32" s="43">
        <f>D32+E32</f>
        <v>0</v>
      </c>
      <c r="G32" s="43">
        <v>0</v>
      </c>
      <c r="H32" s="43">
        <v>0</v>
      </c>
      <c r="I32" s="43">
        <f>IF(H32="", "", J32-H32)</f>
        <v>0</v>
      </c>
      <c r="J32" s="43">
        <f>IF(ISBLANK(Projection!P29), "", Projection!P29)</f>
        <v>0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0</v>
      </c>
      <c r="N32" s="43">
        <f>IF(ISBLANK(Accrual!P29), "", Accrual!P29)</f>
        <v>0</v>
      </c>
      <c r="O32" s="43">
        <f>IF(ISBLANK('Cash Flow'!P29), "",'Cash Flow'!P29)</f>
        <v>0</v>
      </c>
      <c r="P32" s="37">
        <f>IFERROR(IF(O32="", "", O32/K32), 0)</f>
        <v>0</v>
      </c>
      <c r="Q32" s="44">
        <f>IF(K32="", "", K32-O32)</f>
        <v>0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 hidden="true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0</v>
      </c>
      <c r="P35" s="37">
        <f>IFERROR(IF(O35="", "", O35/K35), 0)</f>
        <v>0</v>
      </c>
      <c r="Q35" s="44">
        <f>IF(K35="", "", K35-O35)</f>
        <v>0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5290.0655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0</v>
      </c>
      <c r="D39" s="47">
        <f>SUM(D15:D38)</f>
        <v>0</v>
      </c>
      <c r="E39" s="47">
        <f>SUM(E15:E38)</f>
        <v>0</v>
      </c>
      <c r="F39" s="47">
        <f>SUM(F15:F38)</f>
        <v>0</v>
      </c>
      <c r="G39" s="47">
        <f>SUM(G15:G38)</f>
        <v>49333</v>
      </c>
      <c r="H39" s="47">
        <f>SUM(H15:H38)</f>
        <v>49333</v>
      </c>
      <c r="I39" s="47">
        <f>IF(H39="", "", J39-H39)</f>
        <v>556</v>
      </c>
      <c r="J39" s="47">
        <f>IF(ISBLANK(Projection!P36), "", Projection!P36)</f>
        <v>49889</v>
      </c>
      <c r="K39" s="47">
        <f>IF(ISBLANK('Committed Cost'!P36), "", 'Committed Cost'!P36)</f>
        <v>31326</v>
      </c>
      <c r="L39" s="39">
        <f>IFERROR(IF(ISBLANK(F39), "", K39/F39), 0)</f>
        <v>0</v>
      </c>
      <c r="M39" s="47">
        <f>IF(F39="", "", F39-K39)</f>
        <v>-31326</v>
      </c>
      <c r="N39" s="47">
        <f>IF(ISBLANK(Accrual!P36), "", Accrual!P36)</f>
        <v>44402.92913</v>
      </c>
      <c r="O39" s="47">
        <f>IF(ISBLANK('Cash Flow'!P36), "",'Cash Flow'!P36)</f>
        <v>41432.01631</v>
      </c>
      <c r="P39" s="39">
        <f>IFERROR(IF(O39="", "", O39/K39), 0)</f>
        <v>1.3226079394114</v>
      </c>
      <c r="Q39" s="48">
        <f>IF(K39="", "", K39-O39)</f>
        <v>-10106.01631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0</v>
      </c>
      <c r="D43" s="43">
        <v>0</v>
      </c>
      <c r="E43" s="43">
        <v>0</v>
      </c>
      <c r="F43" s="43">
        <f>D43+E43</f>
        <v>0</v>
      </c>
      <c r="G43" s="43">
        <v>12245</v>
      </c>
      <c r="H43" s="43">
        <v>12245</v>
      </c>
      <c r="I43" s="43">
        <f>IF(H43="", "", J43-H43)</f>
        <v>1298</v>
      </c>
      <c r="J43" s="43">
        <f>IF(ISBLANK(Projection!P40), "", Projection!P40)</f>
        <v>13543</v>
      </c>
      <c r="K43" s="43">
        <f>IF(ISBLANK('Committed Cost'!P40), "", 'Committed Cost'!P40)</f>
        <v>13542.6053</v>
      </c>
      <c r="L43" s="37">
        <f>IFERROR(IF(ISBLANK(F43), "", K43/F43), 0)</f>
        <v>0</v>
      </c>
      <c r="M43" s="43">
        <f>IF(F43="", "", F43-K43)</f>
        <v>-13542.6053</v>
      </c>
      <c r="N43" s="43">
        <f>IF(ISBLANK(Accrual!P40), "", Accrual!P40)</f>
        <v>13542.6053</v>
      </c>
      <c r="O43" s="43">
        <f>IF(ISBLANK('Cash Flow'!P40), "",'Cash Flow'!P40)</f>
        <v>13542.6053</v>
      </c>
      <c r="P43" s="37">
        <f>IFERROR(IF(O43="", "", O43/K43), 0)</f>
        <v>1</v>
      </c>
      <c r="Q43" s="44">
        <f>IF(K43="", "", K43-O43)</f>
        <v>0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25</v>
      </c>
      <c r="H44" s="43">
        <v>25</v>
      </c>
      <c r="I44" s="43">
        <f>IF(H44="", "", J44-H44)</f>
        <v>-2</v>
      </c>
      <c r="J44" s="43">
        <f>IF(ISBLANK(Projection!P41), "", Projection!P41)</f>
        <v>23</v>
      </c>
      <c r="K44" s="43">
        <f>IF(ISBLANK('Committed Cost'!P41), "", 'Committed Cost'!P41)</f>
        <v>22.6012</v>
      </c>
      <c r="L44" s="37">
        <f>IFERROR(IF(ISBLANK(F44), "", K44/F44), 0)</f>
        <v>0</v>
      </c>
      <c r="M44" s="43">
        <f>IF(F44="", "", F44-K44)</f>
        <v>-22.6012</v>
      </c>
      <c r="N44" s="43">
        <f>IF(ISBLANK(Accrual!P41), "", Accrual!P41)</f>
        <v>22.6012</v>
      </c>
      <c r="O44" s="43">
        <f>IF(ISBLANK('Cash Flow'!P41), "",'Cash Flow'!P41)</f>
        <v>22.59916</v>
      </c>
      <c r="P44" s="37">
        <f>IFERROR(IF(O44="", "", O44/K44), 0)</f>
        <v>0.99990973930588</v>
      </c>
      <c r="Q44" s="44">
        <f>IF(K44="", "", K44-O44)</f>
        <v>0.0020400000000009</v>
      </c>
    </row>
    <row r="45" spans="1:18" customHeight="1" ht="12.75">
      <c r="A45" s="18" t="s">
        <v>85</v>
      </c>
      <c r="B45" s="4" t="s">
        <v>86</v>
      </c>
      <c r="C45" s="43">
        <v>0.0</v>
      </c>
      <c r="D45" s="43">
        <v>0.0</v>
      </c>
      <c r="E45" s="43">
        <v>0.0</v>
      </c>
      <c r="F45" s="43">
        <f>D45+E45</f>
        <v>0</v>
      </c>
      <c r="G45" s="43">
        <v>3566</v>
      </c>
      <c r="H45" s="43">
        <v>3566</v>
      </c>
      <c r="I45" s="43">
        <f>IF(H45="", "", J45-H45)</f>
        <v>31</v>
      </c>
      <c r="J45" s="43">
        <f>IF(ISBLANK(Projection!P42), "", Projection!P42)</f>
        <v>3597</v>
      </c>
      <c r="K45" s="43">
        <f>IF(ISBLANK('Committed Cost'!P42), "", 'Committed Cost'!P42)</f>
        <v>3595.7678</v>
      </c>
      <c r="L45" s="37">
        <f>IFERROR(IF(ISBLANK(F45), "", K45/F45), 0)</f>
        <v>0</v>
      </c>
      <c r="M45" s="43">
        <f>IF(F45="", "", F45-K45)</f>
        <v>-3595.7678</v>
      </c>
      <c r="N45" s="43">
        <f>IF(ISBLANK(Accrual!P42), "", Accrual!P42)</f>
        <v>3595.7678</v>
      </c>
      <c r="O45" s="43">
        <f>IF(ISBLANK('Cash Flow'!P42), "",'Cash Flow'!P42)</f>
        <v>3595.7678</v>
      </c>
      <c r="P45" s="37">
        <f>IFERROR(IF(O45="", "", O45/K45), 0)</f>
        <v>1</v>
      </c>
      <c r="Q45" s="44">
        <f>IF(K45="", "", K45-O45)</f>
        <v>0</v>
      </c>
    </row>
    <row r="46" spans="1:18" customHeight="1" ht="12.75">
      <c r="A46" s="18" t="s">
        <v>87</v>
      </c>
      <c r="B46" s="4" t="s">
        <v>88</v>
      </c>
      <c r="C46" s="43">
        <v>0</v>
      </c>
      <c r="D46" s="43">
        <v>0</v>
      </c>
      <c r="E46" s="43">
        <v>0</v>
      </c>
      <c r="F46" s="43">
        <f>D46+E46</f>
        <v>0</v>
      </c>
      <c r="G46" s="43">
        <v>1580</v>
      </c>
      <c r="H46" s="43">
        <v>1580</v>
      </c>
      <c r="I46" s="43">
        <f>IF(H46="", "", J46-H46)</f>
        <v>-5.9000000000001</v>
      </c>
      <c r="J46" s="43">
        <f>IF(ISBLANK(Projection!P43), "", Projection!P43)</f>
        <v>1574.1</v>
      </c>
      <c r="K46" s="43">
        <f>IF(ISBLANK('Committed Cost'!P43), "", 'Committed Cost'!P43)</f>
        <v>1555.5233</v>
      </c>
      <c r="L46" s="37">
        <f>IFERROR(IF(ISBLANK(F46), "", K46/F46), 0)</f>
        <v>0</v>
      </c>
      <c r="M46" s="43">
        <f>IF(F46="", "", F46-K46)</f>
        <v>-1555.5233</v>
      </c>
      <c r="N46" s="43">
        <f>IF(ISBLANK(Accrual!P43), "", Accrual!P43)</f>
        <v>1555.5233</v>
      </c>
      <c r="O46" s="43">
        <f>IF(ISBLANK('Cash Flow'!P43), "",'Cash Flow'!P43)</f>
        <v>1555.5233</v>
      </c>
      <c r="P46" s="37">
        <f>IFERROR(IF(O46="", "", O46/K46), 0)</f>
        <v>1</v>
      </c>
      <c r="Q46" s="44">
        <f>IF(K46="", "", K46-O46)</f>
        <v>0</v>
      </c>
    </row>
    <row r="47" spans="1:18" customHeight="1" ht="12.75">
      <c r="A47" s="18" t="s">
        <v>89</v>
      </c>
      <c r="B47" s="4" t="s">
        <v>90</v>
      </c>
      <c r="C47" s="43">
        <v>0</v>
      </c>
      <c r="D47" s="43">
        <v>0</v>
      </c>
      <c r="E47" s="43">
        <v>0</v>
      </c>
      <c r="F47" s="43">
        <f>D47+E47</f>
        <v>0</v>
      </c>
      <c r="G47" s="43">
        <v>1000</v>
      </c>
      <c r="H47" s="43">
        <v>1000</v>
      </c>
      <c r="I47" s="43">
        <f>IF(H47="", "", J47-H47)</f>
        <v>-735.2</v>
      </c>
      <c r="J47" s="43">
        <f>IF(ISBLANK(Projection!P44), "", Projection!P44)</f>
        <v>264.8</v>
      </c>
      <c r="K47" s="43">
        <f>IF(ISBLANK('Committed Cost'!P44), "", 'Committed Cost'!P44)</f>
        <v>103.072</v>
      </c>
      <c r="L47" s="37">
        <f>IFERROR(IF(ISBLANK(F47), "", K47/F47), 0)</f>
        <v>0</v>
      </c>
      <c r="M47" s="43">
        <f>IF(F47="", "", F47-K47)</f>
        <v>-103.072</v>
      </c>
      <c r="N47" s="43">
        <f>IF(ISBLANK(Accrual!P44), "", Accrual!P44)</f>
        <v>103.072</v>
      </c>
      <c r="O47" s="43">
        <f>IF(ISBLANK('Cash Flow'!P44), "",'Cash Flow'!P44)</f>
        <v>75.237</v>
      </c>
      <c r="P47" s="37">
        <f>IFERROR(IF(O47="", "", O47/K47), 0)</f>
        <v>0.72994605712512</v>
      </c>
      <c r="Q47" s="44">
        <f>IF(K47="", "", K47-O47)</f>
        <v>27.835</v>
      </c>
    </row>
    <row r="48" spans="1:18" customHeight="1" ht="12.75">
      <c r="A48" s="18" t="s">
        <v>91</v>
      </c>
      <c r="B48" s="4" t="s">
        <v>92</v>
      </c>
      <c r="C48" s="43">
        <v>0.0</v>
      </c>
      <c r="D48" s="43">
        <v>0.0</v>
      </c>
      <c r="E48" s="43">
        <v>0.0</v>
      </c>
      <c r="F48" s="43">
        <f>D48+E48</f>
        <v>0</v>
      </c>
      <c r="G48" s="43">
        <v>8568</v>
      </c>
      <c r="H48" s="43">
        <v>8568</v>
      </c>
      <c r="I48" s="43">
        <f>IF(H48="", "", J48-H48)</f>
        <v>-558</v>
      </c>
      <c r="J48" s="43">
        <f>IF(ISBLANK(Projection!P45), "", Projection!P45)</f>
        <v>8010</v>
      </c>
      <c r="K48" s="43">
        <f>IF(ISBLANK('Committed Cost'!P45), "", 'Committed Cost'!P45)</f>
        <v>7762.7935</v>
      </c>
      <c r="L48" s="37">
        <f>IFERROR(IF(ISBLANK(F48), "", K48/F48), 0)</f>
        <v>0</v>
      </c>
      <c r="M48" s="43">
        <f>IF(F48="", "", F48-K48)</f>
        <v>-7762.7935</v>
      </c>
      <c r="N48" s="43">
        <f>IF(ISBLANK(Accrual!P45), "", Accrual!P45)</f>
        <v>7509.11624</v>
      </c>
      <c r="O48" s="43">
        <f>IF(ISBLANK('Cash Flow'!P45), "",'Cash Flow'!P45)</f>
        <v>7240.87188</v>
      </c>
      <c r="P48" s="37">
        <f>IFERROR(IF(O48="", "", O48/K48), 0)</f>
        <v>0.93276626255742</v>
      </c>
      <c r="Q48" s="44">
        <f>IF(K48="", "", K48-O48)</f>
        <v>521.92162</v>
      </c>
    </row>
    <row r="49" spans="1:18" customHeight="1" ht="12.75" hidden="true">
      <c r="A49" s="18" t="s">
        <v>93</v>
      </c>
      <c r="B49" s="4" t="s">
        <v>94</v>
      </c>
      <c r="C49" s="43">
        <v>0</v>
      </c>
      <c r="D49" s="43">
        <v>0</v>
      </c>
      <c r="E49" s="43">
        <v>0</v>
      </c>
      <c r="F49" s="43">
        <f>D49+E49</f>
        <v>0</v>
      </c>
      <c r="G49" s="43">
        <v>0</v>
      </c>
      <c r="H49" s="43">
        <v>0</v>
      </c>
      <c r="I49" s="43">
        <f>IF(H49="", "", J49-H49)</f>
        <v>0</v>
      </c>
      <c r="J49" s="43">
        <f>IF(ISBLANK(Projection!P46), "", Projection!P46)</f>
        <v>0</v>
      </c>
      <c r="K49" s="43">
        <f>IF(ISBLANK('Committed Cost'!P46), "", 'Committed Cost'!P46)</f>
        <v>0</v>
      </c>
      <c r="L49" s="37">
        <f>IFERROR(IF(ISBLANK(F49), "", K49/F49), 0)</f>
        <v>0</v>
      </c>
      <c r="M49" s="43">
        <f>IF(F49="", "", F49-K49)</f>
        <v>0</v>
      </c>
      <c r="N49" s="43">
        <f>IF(ISBLANK(Accrual!P46), "", Accrual!P46)</f>
        <v>0</v>
      </c>
      <c r="O49" s="43">
        <f>IF(ISBLANK('Cash Flow'!P46), "",'Cash Flow'!P46)</f>
        <v>0</v>
      </c>
      <c r="P49" s="37">
        <f>IFERROR(IF(O49="", "", O49/K49), 0)</f>
        <v>0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0</v>
      </c>
      <c r="D50" s="43">
        <v>0</v>
      </c>
      <c r="E50" s="43">
        <v>0</v>
      </c>
      <c r="F50" s="43">
        <f>D50+E50</f>
        <v>0</v>
      </c>
      <c r="G50" s="43">
        <v>150</v>
      </c>
      <c r="H50" s="43">
        <v>150</v>
      </c>
      <c r="I50" s="43">
        <f>IF(H50="", "", J50-H50)</f>
        <v>-42.8</v>
      </c>
      <c r="J50" s="43">
        <f>IF(ISBLANK(Projection!P47), "", Projection!P47)</f>
        <v>107.2</v>
      </c>
      <c r="K50" s="43">
        <f>IF(ISBLANK('Committed Cost'!P47), "", 'Committed Cost'!P47)</f>
        <v>76.96701</v>
      </c>
      <c r="L50" s="37">
        <f>IFERROR(IF(ISBLANK(F50), "", K50/F50), 0)</f>
        <v>0</v>
      </c>
      <c r="M50" s="43">
        <f>IF(F50="", "", F50-K50)</f>
        <v>-76.96701</v>
      </c>
      <c r="N50" s="43">
        <f>IF(ISBLANK(Accrual!P47), "", Accrual!P47)</f>
        <v>76.96701</v>
      </c>
      <c r="O50" s="43">
        <f>IF(ISBLANK('Cash Flow'!P47), "",'Cash Flow'!P47)</f>
        <v>76.66401</v>
      </c>
      <c r="P50" s="37">
        <f>IFERROR(IF(O50="", "", O50/K50), 0)</f>
        <v>0.99606324839694</v>
      </c>
      <c r="Q50" s="44">
        <f>IF(K50="", "", K50-O50)</f>
        <v>0.30300000000003</v>
      </c>
    </row>
    <row r="51" spans="1:18" customHeight="1" ht="12.75">
      <c r="A51" s="18" t="s">
        <v>97</v>
      </c>
      <c r="B51" s="4" t="s">
        <v>98</v>
      </c>
      <c r="C51" s="43">
        <v>0.0</v>
      </c>
      <c r="D51" s="43">
        <v>0.0</v>
      </c>
      <c r="E51" s="43">
        <v>0.0</v>
      </c>
      <c r="F51" s="43">
        <f>D51+E51</f>
        <v>0</v>
      </c>
      <c r="G51" s="43">
        <v>1533</v>
      </c>
      <c r="H51" s="43">
        <v>1533</v>
      </c>
      <c r="I51" s="43">
        <f>IF(H51="", "", J51-H51)</f>
        <v>-568</v>
      </c>
      <c r="J51" s="43">
        <f>IF(ISBLANK(Projection!P48), "", Projection!P48)</f>
        <v>965</v>
      </c>
      <c r="K51" s="43">
        <f>IF(ISBLANK('Committed Cost'!P48), "", 'Committed Cost'!P48)</f>
        <v>959.404</v>
      </c>
      <c r="L51" s="37">
        <f>IFERROR(IF(ISBLANK(F51), "", K51/F51), 0)</f>
        <v>0</v>
      </c>
      <c r="M51" s="43">
        <f>IF(F51="", "", F51-K51)</f>
        <v>-959.404</v>
      </c>
      <c r="N51" s="43">
        <f>IF(ISBLANK(Accrual!P48), "", Accrual!P48)</f>
        <v>34.404</v>
      </c>
      <c r="O51" s="43">
        <f>IF(ISBLANK('Cash Flow'!P48), "",'Cash Flow'!P48)</f>
        <v>34.404</v>
      </c>
      <c r="P51" s="37">
        <f>IFERROR(IF(O51="", "", O51/K51), 0)</f>
        <v>0.035859762936156</v>
      </c>
      <c r="Q51" s="44">
        <f>IF(K51="", "", K51-O51)</f>
        <v>925</v>
      </c>
    </row>
    <row r="52" spans="1:18" customHeight="1" ht="12.75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100</v>
      </c>
      <c r="H52" s="43">
        <v>100</v>
      </c>
      <c r="I52" s="43">
        <f>IF(H52="", "", J52-H52)</f>
        <v>-21</v>
      </c>
      <c r="J52" s="43">
        <f>IF(ISBLANK(Projection!P49), "", Projection!P49)</f>
        <v>79</v>
      </c>
      <c r="K52" s="43">
        <f>IF(ISBLANK('Committed Cost'!P49), "", 'Committed Cost'!P49)</f>
        <v>78.575</v>
      </c>
      <c r="L52" s="37">
        <f>IFERROR(IF(ISBLANK(F52), "", K52/F52), 0)</f>
        <v>0</v>
      </c>
      <c r="M52" s="43">
        <f>IF(F52="", "", F52-K52)</f>
        <v>-78.575</v>
      </c>
      <c r="N52" s="43">
        <f>IF(ISBLANK(Accrual!P49), "", Accrual!P49)</f>
        <v>70.415</v>
      </c>
      <c r="O52" s="43">
        <f>IF(ISBLANK('Cash Flow'!P49), "",'Cash Flow'!P49)</f>
        <v>43.965</v>
      </c>
      <c r="P52" s="37">
        <f>IFERROR(IF(O52="", "", O52/K52), 0)</f>
        <v>0.55952911231308</v>
      </c>
      <c r="Q52" s="44">
        <f>IF(K52="", "", K52-O52)</f>
        <v>34.61</v>
      </c>
    </row>
    <row r="53" spans="1:18" customHeight="1" ht="12.75">
      <c r="A53" s="18" t="s">
        <v>101</v>
      </c>
      <c r="B53" s="4" t="s">
        <v>102</v>
      </c>
      <c r="C53" s="43">
        <v>0</v>
      </c>
      <c r="D53" s="43">
        <v>0</v>
      </c>
      <c r="E53" s="43">
        <v>0</v>
      </c>
      <c r="F53" s="43">
        <f>D53+E53</f>
        <v>0</v>
      </c>
      <c r="G53" s="43">
        <v>4500</v>
      </c>
      <c r="H53" s="43">
        <v>4500</v>
      </c>
      <c r="I53" s="43">
        <f>IF(H53="", "", J53-H53)</f>
        <v>-388.2</v>
      </c>
      <c r="J53" s="43">
        <f>IF(ISBLANK(Projection!P50), "", Projection!P50)</f>
        <v>4111.8</v>
      </c>
      <c r="K53" s="43">
        <f>IF(ISBLANK('Committed Cost'!P50), "", 'Committed Cost'!P50)</f>
        <v>3944.60589</v>
      </c>
      <c r="L53" s="37">
        <f>IFERROR(IF(ISBLANK(F53), "", K53/F53), 0)</f>
        <v>0</v>
      </c>
      <c r="M53" s="43">
        <f>IF(F53="", "", F53-K53)</f>
        <v>-3944.60589</v>
      </c>
      <c r="N53" s="43">
        <f>IF(ISBLANK(Accrual!P50), "", Accrual!P50)</f>
        <v>3387.56089</v>
      </c>
      <c r="O53" s="43">
        <f>IF(ISBLANK('Cash Flow'!P50), "",'Cash Flow'!P50)</f>
        <v>3129.00539</v>
      </c>
      <c r="P53" s="37">
        <f>IFERROR(IF(O53="", "", O53/K53), 0)</f>
        <v>0.79323650505425</v>
      </c>
      <c r="Q53" s="44">
        <f>IF(K53="", "", K53-O53)</f>
        <v>815.6005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0</v>
      </c>
      <c r="D57" s="43">
        <v>0</v>
      </c>
      <c r="E57" s="43">
        <v>0</v>
      </c>
      <c r="F57" s="43">
        <f>D57+E57</f>
        <v>0</v>
      </c>
      <c r="G57" s="43">
        <v>0</v>
      </c>
      <c r="H57" s="43">
        <v>0</v>
      </c>
      <c r="I57" s="43">
        <f>IF(H57="", "", J57-H57)</f>
        <v>3407</v>
      </c>
      <c r="J57" s="43">
        <f>IF(ISBLANK(Projection!P54), "", Projection!P54)</f>
        <v>3407</v>
      </c>
      <c r="K57" s="43">
        <f>IF(ISBLANK('Committed Cost'!P54), "", 'Committed Cost'!P54)</f>
        <v>3406.2073</v>
      </c>
      <c r="L57" s="37">
        <f>IFERROR(IF(ISBLANK(F57), "", K57/F57), 0)</f>
        <v>0</v>
      </c>
      <c r="M57" s="43">
        <f>IF(F57="", "", F57-K57)</f>
        <v>-3406.2073</v>
      </c>
      <c r="N57" s="43">
        <f>IF(ISBLANK(Accrual!P54), "", Accrual!P54)</f>
        <v>3406.2073</v>
      </c>
      <c r="O57" s="43">
        <f>IF(ISBLANK('Cash Flow'!P54), "",'Cash Flow'!P54)</f>
        <v>3349.4063</v>
      </c>
      <c r="P57" s="37">
        <f>IFERROR(IF(O57="", "", O57/K57), 0)</f>
        <v>0.98332426802092</v>
      </c>
      <c r="Q57" s="44">
        <f>IF(K57="", "", K57-O57)</f>
        <v>56.800999999999</v>
      </c>
    </row>
    <row r="58" spans="1:18" customHeight="1" ht="12.75">
      <c r="A58" s="18" t="s">
        <v>110</v>
      </c>
      <c r="B58" s="4" t="s">
        <v>111</v>
      </c>
      <c r="C58" s="43">
        <v>0</v>
      </c>
      <c r="D58" s="43">
        <v>0</v>
      </c>
      <c r="E58" s="43">
        <v>0</v>
      </c>
      <c r="F58" s="43">
        <f>D58+E58</f>
        <v>0</v>
      </c>
      <c r="G58" s="43">
        <v>0</v>
      </c>
      <c r="H58" s="43">
        <v>0</v>
      </c>
      <c r="I58" s="43">
        <f>IF(H58="", "", J58-H58)</f>
        <v>2470</v>
      </c>
      <c r="J58" s="43">
        <f>IF(ISBLANK(Projection!P55), "", Projection!P55)</f>
        <v>2470</v>
      </c>
      <c r="K58" s="43">
        <f>IF(ISBLANK('Committed Cost'!P55), "", 'Committed Cost'!P55)</f>
        <v>2469.82308</v>
      </c>
      <c r="L58" s="37">
        <f>IFERROR(IF(ISBLANK(F58), "", K58/F58), 0)</f>
        <v>0</v>
      </c>
      <c r="M58" s="43">
        <f>IF(F58="", "", F58-K58)</f>
        <v>-2469.82308</v>
      </c>
      <c r="N58" s="43">
        <f>IF(ISBLANK(Accrual!P55), "", Accrual!P55)</f>
        <v>1652.06657</v>
      </c>
      <c r="O58" s="43">
        <f>IF(ISBLANK('Cash Flow'!P55), "",'Cash Flow'!P55)</f>
        <v>1652.06657</v>
      </c>
      <c r="P58" s="37">
        <f>IFERROR(IF(O58="", "", O58/K58), 0)</f>
        <v>0.66890077405868</v>
      </c>
      <c r="Q58" s="44">
        <f>IF(K58="", "", K58-O58)</f>
        <v>817.75651</v>
      </c>
    </row>
    <row r="59" spans="1:18" customHeight="1" ht="12.75" hidden="true">
      <c r="A59" s="18" t="s">
        <v>112</v>
      </c>
      <c r="B59" s="4" t="s">
        <v>113</v>
      </c>
      <c r="C59" s="43">
        <v>0</v>
      </c>
      <c r="D59" s="43">
        <v>0</v>
      </c>
      <c r="E59" s="43">
        <v>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>
      <c r="A60" s="18" t="s">
        <v>114</v>
      </c>
      <c r="B60" s="4" t="s">
        <v>115</v>
      </c>
      <c r="C60" s="43">
        <v>0</v>
      </c>
      <c r="D60" s="43">
        <v>0</v>
      </c>
      <c r="E60" s="43">
        <v>0</v>
      </c>
      <c r="F60" s="43">
        <f>D60+E60</f>
        <v>0</v>
      </c>
      <c r="G60" s="43">
        <v>0</v>
      </c>
      <c r="H60" s="43">
        <v>0</v>
      </c>
      <c r="I60" s="43">
        <f>IF(H60="", "", J60-H60)</f>
        <v>2542</v>
      </c>
      <c r="J60" s="43">
        <f>IF(ISBLANK(Projection!P57), "", Projection!P57)</f>
        <v>2542</v>
      </c>
      <c r="K60" s="43">
        <f>IF(ISBLANK('Committed Cost'!P57), "", 'Committed Cost'!P57)</f>
        <v>2485.697</v>
      </c>
      <c r="L60" s="37">
        <f>IFERROR(IF(ISBLANK(F60), "", K60/F60), 0)</f>
        <v>0</v>
      </c>
      <c r="M60" s="43">
        <f>IF(F60="", "", F60-K60)</f>
        <v>-2485.697</v>
      </c>
      <c r="N60" s="43">
        <f>IF(ISBLANK(Accrual!P57), "", Accrual!P57)</f>
        <v>2484.697</v>
      </c>
      <c r="O60" s="43">
        <f>IF(ISBLANK('Cash Flow'!P57), "",'Cash Flow'!P57)</f>
        <v>2484.697</v>
      </c>
      <c r="P60" s="37">
        <f>IFERROR(IF(O60="", "", O60/K60), 0)</f>
        <v>0.99959769835181</v>
      </c>
      <c r="Q60" s="44">
        <f>IF(K60="", "", K60-O60)</f>
        <v>1</v>
      </c>
    </row>
    <row r="61" spans="1:18" customHeight="1" ht="12.75" hidden="true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0</v>
      </c>
      <c r="H61" s="43">
        <v>0</v>
      </c>
      <c r="I61" s="43">
        <f>IF(H61="", "", J61-H61)</f>
        <v>0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 hidden="true">
      <c r="A63" s="18" t="s">
        <v>120</v>
      </c>
      <c r="B63" s="4" t="s">
        <v>121</v>
      </c>
      <c r="C63" s="43">
        <v>0</v>
      </c>
      <c r="D63" s="43">
        <v>0</v>
      </c>
      <c r="E63" s="43">
        <v>0</v>
      </c>
      <c r="F63" s="43">
        <f>D63+E63</f>
        <v>0</v>
      </c>
      <c r="G63" s="43">
        <v>0</v>
      </c>
      <c r="H63" s="43">
        <v>0</v>
      </c>
      <c r="I63" s="43">
        <f>IF(H63="", "", J63-H63)</f>
        <v>0</v>
      </c>
      <c r="J63" s="43">
        <f>IF(ISBLANK(Projection!P60), "", Projection!P60)</f>
        <v>0</v>
      </c>
      <c r="K63" s="43">
        <f>IF(ISBLANK('Committed Cost'!P60), "", 'Committed Cost'!P60)</f>
        <v>0</v>
      </c>
      <c r="L63" s="37">
        <f>IFERROR(IF(ISBLANK(F63), "", K63/F63), 0)</f>
        <v>0</v>
      </c>
      <c r="M63" s="43">
        <f>IF(F63="", "", F63-K63)</f>
        <v>0</v>
      </c>
      <c r="N63" s="43">
        <f>IF(ISBLANK(Accrual!P60), "", Accrual!P60)</f>
        <v>0</v>
      </c>
      <c r="O63" s="43">
        <f>IF(ISBLANK('Cash Flow'!P60), "",'Cash Flow'!P60)</f>
        <v>0</v>
      </c>
      <c r="P63" s="37">
        <f>IFERROR(IF(O63="", "", O63/K63), 0)</f>
        <v>0</v>
      </c>
      <c r="Q63" s="44">
        <f>IF(K63="", "", K63-O63)</f>
        <v>0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</v>
      </c>
      <c r="D66" s="43">
        <v>0</v>
      </c>
      <c r="E66" s="43">
        <v>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</v>
      </c>
      <c r="D67" s="43">
        <v>0</v>
      </c>
      <c r="E67" s="43">
        <v>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0</v>
      </c>
      <c r="D69" s="43">
        <v>0</v>
      </c>
      <c r="E69" s="43">
        <v>0</v>
      </c>
      <c r="F69" s="43">
        <f>D69+E69</f>
        <v>0</v>
      </c>
      <c r="G69" s="43">
        <v>0</v>
      </c>
      <c r="H69" s="43">
        <v>0</v>
      </c>
      <c r="I69" s="43">
        <f>IF(H69="", "", J69-H69)</f>
        <v>733</v>
      </c>
      <c r="J69" s="43">
        <f>IF(ISBLANK(Projection!P66), "", Projection!P66)</f>
        <v>733</v>
      </c>
      <c r="K69" s="43">
        <f>IF(ISBLANK('Committed Cost'!P66), "", 'Committed Cost'!P66)</f>
        <v>732.0405</v>
      </c>
      <c r="L69" s="37">
        <f>IFERROR(IF(ISBLANK(F69), "", K69/F69), 0)</f>
        <v>0</v>
      </c>
      <c r="M69" s="43">
        <f>IF(F69="", "", F69-K69)</f>
        <v>-732.0405</v>
      </c>
      <c r="N69" s="43">
        <f>IF(ISBLANK(Accrual!P66), "", Accrual!P66)</f>
        <v>631.0264</v>
      </c>
      <c r="O69" s="43">
        <f>IF(ISBLANK('Cash Flow'!P66), "",'Cash Flow'!P66)</f>
        <v>628.3055</v>
      </c>
      <c r="P69" s="37">
        <f>IFERROR(IF(O69="", "", O69/K69), 0)</f>
        <v>0.85829335945211</v>
      </c>
      <c r="Q69" s="44">
        <f>IF(K69="", "", K69-O69)</f>
        <v>103.735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552.759</v>
      </c>
      <c r="O70" s="43">
        <f>IF(ISBLANK('Cash Flow'!P67), "",'Cash Flow'!P67)</f>
        <v>610.517</v>
      </c>
      <c r="P70" s="37">
        <f>IFERROR(IF(O70="", "", O70/K70), 0)</f>
        <v>0</v>
      </c>
      <c r="Q70" s="44">
        <f>IF(K70="", "", K70-O70)</f>
        <v>-610.517</v>
      </c>
    </row>
    <row r="71" spans="1:18" customHeight="1" ht="12.75" hidden="true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0</v>
      </c>
      <c r="H71" s="43">
        <v>0</v>
      </c>
      <c r="I71" s="43">
        <f>IF(H71="", "", J71-H71)</f>
        <v>0</v>
      </c>
      <c r="J71" s="43">
        <f>IF(ISBLANK(Projection!P68), "", Projection!P68)</f>
        <v>0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0</v>
      </c>
      <c r="D76" s="43">
        <v>0</v>
      </c>
      <c r="E76" s="43">
        <v>0</v>
      </c>
      <c r="F76" s="43">
        <f>D76+E76</f>
        <v>0</v>
      </c>
      <c r="G76" s="43">
        <v>455</v>
      </c>
      <c r="H76" s="43">
        <v>455</v>
      </c>
      <c r="I76" s="43">
        <f>IF(H76="", "", J76-H76)</f>
        <v>1</v>
      </c>
      <c r="J76" s="43">
        <f>IF(ISBLANK(Projection!P73), "", Projection!P73)</f>
        <v>456</v>
      </c>
      <c r="K76" s="43">
        <f>IF(ISBLANK('Committed Cost'!P73), "", 'Committed Cost'!P73)</f>
        <v>454.914</v>
      </c>
      <c r="L76" s="37">
        <f>IFERROR(IF(ISBLANK(F76), "", K76/F76), 0)</f>
        <v>0</v>
      </c>
      <c r="M76" s="43">
        <f>IF(F76="", "", F76-K76)</f>
        <v>-454.914</v>
      </c>
      <c r="N76" s="43">
        <f>IF(ISBLANK(Accrual!P73), "", Accrual!P73)</f>
        <v>433.114</v>
      </c>
      <c r="O76" s="43">
        <f>IF(ISBLANK('Cash Flow'!P73), "",'Cash Flow'!P73)</f>
        <v>433.114</v>
      </c>
      <c r="P76" s="37">
        <f>IFERROR(IF(O76="", "", O76/K76), 0)</f>
        <v>0.9520788544648</v>
      </c>
      <c r="Q76" s="44">
        <f>IF(K76="", "", K76-O76)</f>
        <v>21.8</v>
      </c>
    </row>
    <row r="77" spans="1:18" customHeight="1" ht="12.75">
      <c r="A77" s="18" t="s">
        <v>147</v>
      </c>
      <c r="B77" s="4" t="s">
        <v>148</v>
      </c>
      <c r="C77" s="43">
        <v>0</v>
      </c>
      <c r="D77" s="43">
        <v>0</v>
      </c>
      <c r="E77" s="43">
        <v>0</v>
      </c>
      <c r="F77" s="43">
        <f>D77+E77</f>
        <v>0</v>
      </c>
      <c r="G77" s="43">
        <v>1363</v>
      </c>
      <c r="H77" s="43">
        <v>1363</v>
      </c>
      <c r="I77" s="43">
        <f>IF(H77="", "", J77-H77)</f>
        <v>720</v>
      </c>
      <c r="J77" s="43">
        <f>IF(ISBLANK(Projection!P74), "", Projection!P74)</f>
        <v>2083</v>
      </c>
      <c r="K77" s="43">
        <f>IF(ISBLANK('Committed Cost'!P74), "", 'Committed Cost'!P74)</f>
        <v>1901.00299</v>
      </c>
      <c r="L77" s="37">
        <f>IFERROR(IF(ISBLANK(F77), "", K77/F77), 0)</f>
        <v>0</v>
      </c>
      <c r="M77" s="43">
        <f>IF(F77="", "", F77-K77)</f>
        <v>-1901.00299</v>
      </c>
      <c r="N77" s="43">
        <f>IF(ISBLANK(Accrual!P74), "", Accrual!P74)</f>
        <v>927.06476</v>
      </c>
      <c r="O77" s="43">
        <f>IF(ISBLANK('Cash Flow'!P74), "",'Cash Flow'!P74)</f>
        <v>774.48476</v>
      </c>
      <c r="P77" s="37">
        <f>IFERROR(IF(O77="", "", O77/K77), 0)</f>
        <v>0.40740849124072</v>
      </c>
      <c r="Q77" s="44">
        <f>IF(K77="", "", K77-O77)</f>
        <v>1126.51823</v>
      </c>
    </row>
    <row r="78" spans="1:18" customHeight="1" ht="12.75">
      <c r="A78" s="18" t="s">
        <v>149</v>
      </c>
      <c r="B78" s="4" t="s">
        <v>150</v>
      </c>
      <c r="C78" s="43">
        <v>0</v>
      </c>
      <c r="D78" s="43">
        <v>0</v>
      </c>
      <c r="E78" s="43">
        <v>0</v>
      </c>
      <c r="F78" s="43">
        <f>D78+E78</f>
        <v>0</v>
      </c>
      <c r="G78" s="43">
        <v>289</v>
      </c>
      <c r="H78" s="43">
        <v>289</v>
      </c>
      <c r="I78" s="43">
        <f>IF(H78="", "", J78-H78)</f>
        <v>91.5</v>
      </c>
      <c r="J78" s="43">
        <f>IF(ISBLANK(Projection!P75), "", Projection!P75)</f>
        <v>380.5</v>
      </c>
      <c r="K78" s="43">
        <f>IF(ISBLANK('Committed Cost'!P75), "", 'Committed Cost'!P75)</f>
        <v>368.1506</v>
      </c>
      <c r="L78" s="37">
        <f>IFERROR(IF(ISBLANK(F78), "", K78/F78), 0)</f>
        <v>0</v>
      </c>
      <c r="M78" s="43">
        <f>IF(F78="", "", F78-K78)</f>
        <v>-368.1506</v>
      </c>
      <c r="N78" s="43">
        <f>IF(ISBLANK(Accrual!P75), "", Accrual!P75)</f>
        <v>367.3687</v>
      </c>
      <c r="O78" s="43">
        <f>IF(ISBLANK('Cash Flow'!P75), "",'Cash Flow'!P75)</f>
        <v>342.55905</v>
      </c>
      <c r="P78" s="37">
        <f>IFERROR(IF(O78="", "", O78/K78), 0)</f>
        <v>0.93048619233542</v>
      </c>
      <c r="Q78" s="44">
        <f>IF(K78="", "", K78-O78)</f>
        <v>25.59155</v>
      </c>
    </row>
    <row r="79" spans="1:18" customHeight="1" ht="12.75" hidden="true">
      <c r="A79" s="18" t="s">
        <v>151</v>
      </c>
      <c r="B79" s="4" t="s">
        <v>152</v>
      </c>
      <c r="C79" s="43">
        <v>0</v>
      </c>
      <c r="D79" s="43">
        <v>0</v>
      </c>
      <c r="E79" s="43">
        <v>0</v>
      </c>
      <c r="F79" s="43">
        <f>D79+E79</f>
        <v>0</v>
      </c>
      <c r="G79" s="43">
        <v>0</v>
      </c>
      <c r="H79" s="43">
        <v>0</v>
      </c>
      <c r="I79" s="43">
        <f>IF(H79="", "", J79-H79)</f>
        <v>0</v>
      </c>
      <c r="J79" s="43">
        <f>IF(ISBLANK(Projection!P76), "", Projection!P76)</f>
        <v>0</v>
      </c>
      <c r="K79" s="43">
        <f>IF(ISBLANK('Committed Cost'!P76), "", 'Committed Cost'!P76)</f>
        <v>0</v>
      </c>
      <c r="L79" s="37">
        <f>IFERROR(IF(ISBLANK(F79), "", K79/F79), 0)</f>
        <v>0</v>
      </c>
      <c r="M79" s="43">
        <f>IF(F79="", "", F79-K79)</f>
        <v>0</v>
      </c>
      <c r="N79" s="43">
        <f>IF(ISBLANK(Accrual!P76), "", Accrual!P76)</f>
        <v>0</v>
      </c>
      <c r="O79" s="43">
        <f>IF(ISBLANK('Cash Flow'!P76), "",'Cash Flow'!P76)</f>
        <v>0</v>
      </c>
      <c r="P79" s="37">
        <f>IFERROR(IF(O79="", "", O79/K79), 0)</f>
        <v>0</v>
      </c>
      <c r="Q79" s="44">
        <f>IF(K79="", "", K79-O79)</f>
        <v>0</v>
      </c>
    </row>
    <row r="80" spans="1:18" customHeight="1" ht="12.75" hidden="true">
      <c r="A80" s="18" t="s">
        <v>153</v>
      </c>
      <c r="B80" s="4" t="s">
        <v>154</v>
      </c>
      <c r="C80" s="43">
        <v>0</v>
      </c>
      <c r="D80" s="43">
        <v>0</v>
      </c>
      <c r="E80" s="43">
        <v>0</v>
      </c>
      <c r="F80" s="43">
        <f>D80+E80</f>
        <v>0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0</v>
      </c>
      <c r="L80" s="37">
        <f>IFERROR(IF(ISBLANK(F80), "", K80/F80), 0)</f>
        <v>0</v>
      </c>
      <c r="M80" s="43">
        <f>IF(F80="", "", F80-K80)</f>
        <v>0</v>
      </c>
      <c r="N80" s="43">
        <f>IF(ISBLANK(Accrual!P77), "", Accrual!P77)</f>
        <v>0</v>
      </c>
      <c r="O80" s="43">
        <f>IF(ISBLANK('Cash Flow'!P77), "",'Cash Flow'!P77)</f>
        <v>0</v>
      </c>
      <c r="P80" s="37">
        <f>IFERROR(IF(O80="", "", O80/K80), 0)</f>
        <v>0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 hidden="true">
      <c r="A82" s="18" t="s">
        <v>157</v>
      </c>
      <c r="B82" s="4" t="s">
        <v>158</v>
      </c>
      <c r="C82" s="43">
        <v>0</v>
      </c>
      <c r="D82" s="43">
        <v>0</v>
      </c>
      <c r="E82" s="43">
        <v>0</v>
      </c>
      <c r="F82" s="43">
        <f>D82+E82</f>
        <v>0</v>
      </c>
      <c r="G82" s="43">
        <v>0</v>
      </c>
      <c r="H82" s="43">
        <v>0</v>
      </c>
      <c r="I82" s="43">
        <f>IF(H82="", "", J82-H82)</f>
        <v>0</v>
      </c>
      <c r="J82" s="43">
        <f>IF(ISBLANK(Projection!P79), "", Projection!P79)</f>
        <v>0</v>
      </c>
      <c r="K82" s="43">
        <f>IF(ISBLANK('Committed Cost'!P79), "", 'Committed Cost'!P79)</f>
        <v>0</v>
      </c>
      <c r="L82" s="37">
        <f>IFERROR(IF(ISBLANK(F82), "", K82/F82), 0)</f>
        <v>0</v>
      </c>
      <c r="M82" s="43">
        <f>IF(F82="", "", F82-K82)</f>
        <v>0</v>
      </c>
      <c r="N82" s="43">
        <f>IF(ISBLANK(Accrual!P79), "", Accrual!P79)</f>
        <v>0</v>
      </c>
      <c r="O82" s="43">
        <f>IF(ISBLANK('Cash Flow'!P79), "",'Cash Flow'!P79)</f>
        <v>0</v>
      </c>
      <c r="P82" s="37">
        <f>IFERROR(IF(O82="", "", O82/K82), 0)</f>
        <v>0</v>
      </c>
      <c r="Q82" s="44">
        <f>IF(K82="", "", K82-O82)</f>
        <v>0</v>
      </c>
    </row>
    <row r="83" spans="1:18" customHeight="1" ht="12.75" hidden="true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0</v>
      </c>
      <c r="H83" s="43">
        <v>0</v>
      </c>
      <c r="I83" s="43">
        <f>IF(H83="", "", J83-H83)</f>
        <v>0</v>
      </c>
      <c r="J83" s="43">
        <f>IF(ISBLANK(Projection!P80), "", Projection!P80)</f>
        <v>0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0.0</v>
      </c>
      <c r="D84" s="43">
        <v>0.0</v>
      </c>
      <c r="E84" s="43">
        <v>0.0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 hidden="true">
      <c r="A86" s="18" t="s">
        <v>164</v>
      </c>
      <c r="B86" s="4" t="s">
        <v>165</v>
      </c>
      <c r="C86" s="43">
        <v>0</v>
      </c>
      <c r="D86" s="43">
        <v>0</v>
      </c>
      <c r="E86" s="43">
        <v>0</v>
      </c>
      <c r="F86" s="43">
        <f>D86+E86</f>
        <v>0</v>
      </c>
      <c r="G86" s="43">
        <v>0</v>
      </c>
      <c r="H86" s="43">
        <v>0</v>
      </c>
      <c r="I86" s="43">
        <f>IF(H86="", "", J86-H86)</f>
        <v>0</v>
      </c>
      <c r="J86" s="43">
        <f>IF(ISBLANK(Projection!P83), "", Projection!P83)</f>
        <v>0</v>
      </c>
      <c r="K86" s="43">
        <f>IF(ISBLANK('Committed Cost'!P83), "", 'Committed Cost'!P83)</f>
        <v>0</v>
      </c>
      <c r="L86" s="37">
        <f>IFERROR(IF(ISBLANK(F86), "", K86/F86), 0)</f>
        <v>0</v>
      </c>
      <c r="M86" s="43">
        <f>IF(F86="", "", F86-K86)</f>
        <v>0</v>
      </c>
      <c r="N86" s="43">
        <f>IF(ISBLANK(Accrual!P83), "", Accrual!P83)</f>
        <v>0</v>
      </c>
      <c r="O86" s="43">
        <f>IF(ISBLANK('Cash Flow'!P83), "",'Cash Flow'!P83)</f>
        <v>0</v>
      </c>
      <c r="P86" s="37">
        <f>IFERROR(IF(O86="", "", O86/K86), 0)</f>
        <v>0</v>
      </c>
      <c r="Q86" s="44">
        <f>IF(K86="", "", K86-O86)</f>
        <v>0</v>
      </c>
    </row>
    <row r="87" spans="1:18" customHeight="1" ht="12.75" hidden="true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0</v>
      </c>
      <c r="H87" s="43">
        <v>0</v>
      </c>
      <c r="I87" s="43">
        <f>IF(H87="", "", J87-H87)</f>
        <v>0</v>
      </c>
      <c r="J87" s="43">
        <f>IF(ISBLANK(Projection!P84), "", Projection!P84)</f>
        <v>0</v>
      </c>
      <c r="K87" s="43">
        <f>IF(ISBLANK('Committed Cost'!P84), "", 'Committed Cost'!P84)</f>
        <v>0</v>
      </c>
      <c r="L87" s="37">
        <f>IFERROR(IF(ISBLANK(F87), "", K87/F87), 0)</f>
        <v>0</v>
      </c>
      <c r="M87" s="43">
        <f>IF(F87="", "", F87-K87)</f>
        <v>0</v>
      </c>
      <c r="N87" s="43">
        <f>IF(ISBLANK(Accrual!P84), "", Accrual!P84)</f>
        <v>0</v>
      </c>
      <c r="O87" s="43">
        <f>IF(ISBLANK('Cash Flow'!P84), "",'Cash Flow'!P84)</f>
        <v>0</v>
      </c>
      <c r="P87" s="37">
        <f>IFERROR(IF(O87="", "", O87/K87), 0)</f>
        <v>0</v>
      </c>
      <c r="Q87" s="44">
        <f>IF(K87="", "", K87-O87)</f>
        <v>0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</v>
      </c>
      <c r="D89" s="43">
        <v>0</v>
      </c>
      <c r="E89" s="43">
        <v>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0</v>
      </c>
      <c r="O89" s="43">
        <f>IF(ISBLANK('Cash Flow'!P86), "",'Cash Flow'!P86)</f>
        <v>-558.104</v>
      </c>
      <c r="P89" s="37">
        <f>IFERROR(IF(O89="", "", O89/K89), 0)</f>
        <v>0</v>
      </c>
      <c r="Q89" s="44">
        <f>IF(K89="", "", K89-O89)</f>
        <v>558.104</v>
      </c>
    </row>
    <row r="90" spans="1:18" customHeight="1" ht="12.75" hidden="true">
      <c r="A90" s="18" t="s">
        <v>172</v>
      </c>
      <c r="B90" s="4" t="s">
        <v>173</v>
      </c>
      <c r="C90" s="43">
        <v>0</v>
      </c>
      <c r="D90" s="43">
        <v>0</v>
      </c>
      <c r="E90" s="43">
        <v>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0</v>
      </c>
      <c r="P90" s="37">
        <f>IFERROR(IF(O90="", "", O90/K90), 0)</f>
        <v>0</v>
      </c>
      <c r="Q90" s="44">
        <f>IF(K90="", "", K90-O90)</f>
        <v>0</v>
      </c>
    </row>
    <row r="91" spans="1:18" customHeight="1" ht="12.75" hidden="true">
      <c r="A91" s="18" t="s">
        <v>174</v>
      </c>
      <c r="B91" s="4" t="s">
        <v>175</v>
      </c>
      <c r="C91" s="43">
        <v>0</v>
      </c>
      <c r="D91" s="43">
        <v>0</v>
      </c>
      <c r="E91" s="43">
        <v>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0</v>
      </c>
      <c r="P91" s="37">
        <f>IFERROR(IF(O91="", "", O91/K91), 0)</f>
        <v>0</v>
      </c>
      <c r="Q91" s="44">
        <f>IF(K91="", "", K91-O91)</f>
        <v>0</v>
      </c>
    </row>
    <row r="92" spans="1:18" customHeight="1" ht="12.75" hidden="true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0</v>
      </c>
      <c r="H92" s="43">
        <v>0</v>
      </c>
      <c r="I92" s="43">
        <f>IF(H92="", "", J92-H92)</f>
        <v>0</v>
      </c>
      <c r="J92" s="43">
        <f>IF(ISBLANK(Projection!P89), "", Projection!P89)</f>
        <v>0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 hidden="true">
      <c r="A93" s="18" t="s">
        <v>178</v>
      </c>
      <c r="B93" s="4" t="s">
        <v>179</v>
      </c>
      <c r="C93" s="43">
        <v>0</v>
      </c>
      <c r="D93" s="43">
        <v>0</v>
      </c>
      <c r="E93" s="43">
        <v>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0</v>
      </c>
      <c r="O93" s="43">
        <f>IF(ISBLANK('Cash Flow'!P90), "",'Cash Flow'!P90)</f>
        <v>0</v>
      </c>
      <c r="P93" s="37">
        <f>IFERROR(IF(O93="", "", O93/K93), 0)</f>
        <v>0</v>
      </c>
      <c r="Q93" s="44">
        <f>IF(K93="", "", K93-O93)</f>
        <v>0</v>
      </c>
    </row>
    <row r="94" spans="1:18" customHeight="1" ht="12.75" hidden="true">
      <c r="A94" s="18" t="s">
        <v>180</v>
      </c>
      <c r="B94" s="4" t="s">
        <v>181</v>
      </c>
      <c r="C94" s="43">
        <v>0</v>
      </c>
      <c r="D94" s="43">
        <v>0</v>
      </c>
      <c r="E94" s="43">
        <v>0</v>
      </c>
      <c r="F94" s="43">
        <f>D94+E94</f>
        <v>0</v>
      </c>
      <c r="G94" s="43">
        <v>0</v>
      </c>
      <c r="H94" s="43">
        <v>0</v>
      </c>
      <c r="I94" s="43">
        <f>IF(H94="", "", J94-H94)</f>
        <v>0</v>
      </c>
      <c r="J94" s="43">
        <f>IF(ISBLANK(Projection!P91), "", Projection!P91)</f>
        <v>0</v>
      </c>
      <c r="K94" s="43">
        <f>IF(ISBLANK('Committed Cost'!P91), "", 'Committed Cost'!P91)</f>
        <v>0</v>
      </c>
      <c r="L94" s="37">
        <f>IFERROR(IF(ISBLANK(F94), "", K94/F94), 0)</f>
        <v>0</v>
      </c>
      <c r="M94" s="43">
        <f>IF(F94="", "", F94-K94)</f>
        <v>0</v>
      </c>
      <c r="N94" s="43">
        <f>IF(ISBLANK(Accrual!P91), "", Accrual!P91)</f>
        <v>0</v>
      </c>
      <c r="O94" s="43">
        <f>IF(ISBLANK('Cash Flow'!P91), "",'Cash Flow'!P91)</f>
        <v>0</v>
      </c>
      <c r="P94" s="37">
        <f>IFERROR(IF(O94="", "", O94/K94), 0)</f>
        <v>0</v>
      </c>
      <c r="Q94" s="44">
        <f>IF(K94="", "", K94-O94)</f>
        <v>0</v>
      </c>
    </row>
    <row r="95" spans="1:18" customHeight="1" ht="12.75" hidden="true">
      <c r="A95" s="18">
        <v>2.5</v>
      </c>
      <c r="B95" s="4" t="s">
        <v>182</v>
      </c>
      <c r="C95" s="43">
        <v>0</v>
      </c>
      <c r="D95" s="43">
        <v>0</v>
      </c>
      <c r="E95" s="43">
        <v>0</v>
      </c>
      <c r="F95" s="43">
        <f>D95+E95</f>
        <v>0</v>
      </c>
      <c r="G95" s="43">
        <v>0</v>
      </c>
      <c r="H95" s="43">
        <v>0</v>
      </c>
      <c r="I95" s="43">
        <f>IF(H95="", "", J95-H95)</f>
        <v>0</v>
      </c>
      <c r="J95" s="43">
        <f>IF(ISBLANK(Projection!P92), "", Projection!P92)</f>
        <v>0</v>
      </c>
      <c r="K95" s="43">
        <f>IF(ISBLANK('Committed Cost'!P92), "", 'Committed Cost'!P92)</f>
        <v>0</v>
      </c>
      <c r="L95" s="37">
        <f>IFERROR(IF(ISBLANK(F95), "", K95/F95), 0)</f>
        <v>0</v>
      </c>
      <c r="M95" s="43">
        <f>IF(F95="", "", F95-K95)</f>
        <v>0</v>
      </c>
      <c r="N95" s="43">
        <f>IF(ISBLANK(Accrual!P92), "", Accrual!P92)</f>
        <v>0</v>
      </c>
      <c r="O95" s="43">
        <f>IF(ISBLANK('Cash Flow'!P92), "",'Cash Flow'!P92)</f>
        <v>0</v>
      </c>
      <c r="P95" s="37">
        <f>IFERROR(IF(O95="", "", O95/K95), 0)</f>
        <v>0</v>
      </c>
      <c r="Q95" s="44">
        <f>IF(K95="", "", K95-O95)</f>
        <v>0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</v>
      </c>
      <c r="D97" s="43">
        <v>0</v>
      </c>
      <c r="E97" s="43">
        <v>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</v>
      </c>
      <c r="D98" s="43">
        <v>0</v>
      </c>
      <c r="E98" s="43">
        <v>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 hidden="true">
      <c r="A99" s="18">
        <v>2.7</v>
      </c>
      <c r="B99" s="4" t="s">
        <v>188</v>
      </c>
      <c r="C99" s="43">
        <v>0</v>
      </c>
      <c r="D99" s="43">
        <v>0</v>
      </c>
      <c r="E99" s="43">
        <v>0</v>
      </c>
      <c r="F99" s="43">
        <f>D99+E99</f>
        <v>0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</v>
      </c>
      <c r="D100" s="43">
        <v>0</v>
      </c>
      <c r="E100" s="43">
        <v>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 hidden="true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0</v>
      </c>
      <c r="H101" s="43">
        <v>0</v>
      </c>
      <c r="I101" s="43">
        <f>IF(H101="", "", J101-H101)</f>
        <v>0</v>
      </c>
      <c r="J101" s="43">
        <f>IF(ISBLANK(Projection!P98), "", Projection!P98)</f>
        <v>0</v>
      </c>
      <c r="K101" s="43">
        <f>IF(ISBLANK('Committed Cost'!P98), "", 'Committed Cost'!P98)</f>
        <v>0</v>
      </c>
      <c r="L101" s="37">
        <f>IFERROR(IF(ISBLANK(F101), "", K101/F101), 0)</f>
        <v>0</v>
      </c>
      <c r="M101" s="43">
        <f>IF(F101="", "", F101-K101)</f>
        <v>0</v>
      </c>
      <c r="N101" s="43">
        <f>IF(ISBLANK(Accrual!P98), "", Accrual!P98)</f>
        <v>0</v>
      </c>
      <c r="O101" s="43">
        <f>IF(ISBLANK('Cash Flow'!P98), "",'Cash Flow'!P98)</f>
        <v>0</v>
      </c>
      <c r="P101" s="37">
        <f>IFERROR(IF(O101="", "", O101/K101), 0)</f>
        <v>0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0</v>
      </c>
      <c r="D110" s="47">
        <f>SUM(D41:D109)</f>
        <v>0</v>
      </c>
      <c r="E110" s="47">
        <f>SUM(E41:E109)</f>
        <v>0</v>
      </c>
      <c r="F110" s="47">
        <f>SUM(F41:F109)</f>
        <v>0</v>
      </c>
      <c r="G110" s="47">
        <f>SUM(G41:G109)</f>
        <v>35374</v>
      </c>
      <c r="H110" s="47">
        <f>SUM(H41:H109)</f>
        <v>35374</v>
      </c>
      <c r="I110" s="47">
        <f>IF(H110="", "", J110-H110)</f>
        <v>8972.4</v>
      </c>
      <c r="J110" s="47">
        <f>IF(ISBLANK(Projection!P107), "", Projection!P107)</f>
        <v>44346.4</v>
      </c>
      <c r="K110" s="47">
        <f>IF(ISBLANK('Committed Cost'!P107), "", 'Committed Cost'!P107)</f>
        <v>43459.75047</v>
      </c>
      <c r="L110" s="39">
        <f>IFERROR(IF(ISBLANK(F110), "", K110/F110), 0)</f>
        <v>0</v>
      </c>
      <c r="M110" s="47">
        <f>IF(F110="", "", F110-K110)</f>
        <v>-43459.75047</v>
      </c>
      <c r="N110" s="47">
        <f>IF(ISBLANK(Accrual!P107), "", Accrual!P107)</f>
        <v>40352.33647</v>
      </c>
      <c r="O110" s="47">
        <f>IF(ISBLANK('Cash Flow'!P107), "",'Cash Flow'!P107)</f>
        <v>39033.68902</v>
      </c>
      <c r="P110" s="39">
        <f>IFERROR(IF(O110="", "", O110/K110), 0)</f>
        <v>0.89815722819082</v>
      </c>
      <c r="Q110" s="48">
        <f>IF(K110="", "", K110-O110)</f>
        <v>4426.06145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0</v>
      </c>
      <c r="D112" s="49">
        <f>D39-D110</f>
        <v>0</v>
      </c>
      <c r="E112" s="49">
        <f>E39-E110</f>
        <v>0</v>
      </c>
      <c r="F112" s="49">
        <f>F39-F110</f>
        <v>0</v>
      </c>
      <c r="G112" s="49">
        <f>G39-G110</f>
        <v>13959</v>
      </c>
      <c r="H112" s="49">
        <f>H39-H110</f>
        <v>13959</v>
      </c>
      <c r="I112" s="49">
        <f>IF(H112="", "", J112-H112)</f>
        <v>-8416.4</v>
      </c>
      <c r="J112" s="49">
        <f>IF(ISBLANK(Projection!P109), "", Projection!P109)</f>
        <v>5542.6</v>
      </c>
      <c r="K112" s="49">
        <f>IF(ISBLANK('Committed Cost'!P109), "", 'Committed Cost'!P109)</f>
        <v>-12133.75047</v>
      </c>
      <c r="L112" s="40">
        <f>IFERROR(IF(ISBLANK(F112), "", K112/F112), 0)</f>
        <v>0</v>
      </c>
      <c r="M112" s="49">
        <f>IF(F112="", "", F112-K112)</f>
        <v>12133.75047</v>
      </c>
      <c r="N112" s="49">
        <f>IF(ISBLANK(Accrual!P109), "", Accrual!P109)</f>
        <v>4050.59266</v>
      </c>
      <c r="O112" s="49">
        <f>IF(ISBLANK('Cash Flow'!P109), "",'Cash Flow'!P109)</f>
        <v>2398.32729</v>
      </c>
      <c r="P112" s="40">
        <f>IFERROR(IF(O112="", "", O112/K112), 0)</f>
        <v>-0.19765754174109</v>
      </c>
      <c r="Q112" s="50">
        <f>IF(K112="", "", K112-O112)</f>
        <v>-14532.07776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 hidden="true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0</v>
      </c>
      <c r="H117" s="43"/>
      <c r="I117" s="43" t="str">
        <f>IF(H117="", "", J117-H117)</f>
        <v/>
      </c>
      <c r="J117" s="43">
        <f>IF(ISBLANK(Projection!P114), "", Projection!P114)</f>
        <v>0</v>
      </c>
      <c r="K117" s="43">
        <f>IF(ISBLANK('Committed Cost'!P114), "", 'Committed Cost'!P114)</f>
        <v>0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0</v>
      </c>
      <c r="O117" s="43">
        <f>IF(ISBLANK('Cash Flow'!P114), "",'Cash Flow'!P114)</f>
        <v>0</v>
      </c>
      <c r="P117" s="37">
        <f>IFERROR(IF(O117="", "", O117/K117), 0)</f>
        <v>0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 hidden="true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0</v>
      </c>
      <c r="H119" s="43"/>
      <c r="I119" s="43" t="str">
        <f>IF(H119="", "", J119-H119)</f>
        <v/>
      </c>
      <c r="J119" s="43">
        <f>IF(ISBLANK(Projection!P116), "", Projection!P116)</f>
        <v>0</v>
      </c>
      <c r="K119" s="43">
        <f>IF(ISBLANK('Committed Cost'!P116), "", 'Committed Cost'!P116)</f>
        <v>0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0</v>
      </c>
      <c r="O119" s="43">
        <f>IF(ISBLANK('Cash Flow'!P116), "",'Cash Flow'!P116)</f>
        <v>0</v>
      </c>
      <c r="P119" s="37">
        <f>IFERROR(IF(O119="", "", O119/K119), 0)</f>
        <v>0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0</v>
      </c>
      <c r="H121" s="45"/>
      <c r="I121" s="45" t="str">
        <f>IF(H121="", "", J121-H121)</f>
        <v/>
      </c>
      <c r="J121" s="45">
        <f>IF(ISBLANK(Projection!P118), "", Projection!P118)</f>
        <v>-837.264414</v>
      </c>
      <c r="K121" s="45">
        <f>IF(ISBLANK('Committed Cost'!P118), "", 'Committed Cost'!P118)</f>
        <v>-837.26441401</v>
      </c>
      <c r="L121" s="38">
        <f>IFERROR(IF(ISBLANK(F121), "", K121/F121), 0)</f>
        <v>0</v>
      </c>
      <c r="M121" s="45">
        <f>IF(F121="", "", F121-K121)</f>
        <v>837.26441401</v>
      </c>
      <c r="N121" s="43">
        <f>IF(ISBLANK(Accrual!P118), "", Accrual!P118)</f>
        <v>-837.264414</v>
      </c>
      <c r="O121" s="43">
        <f>IF(ISBLANK('Cash Flow'!P118), "",'Cash Flow'!P118)</f>
        <v>-837.26441399155</v>
      </c>
      <c r="P121" s="38">
        <f>IFERROR(IF(O121="", "", O121/K121), 0)</f>
        <v>0.99999999997797</v>
      </c>
      <c r="Q121" s="46">
        <f>IF(K121="", "", K121-O121)</f>
        <v>-1.8447963157087E-8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0</v>
      </c>
      <c r="H122" s="47"/>
      <c r="I122" s="47" t="str">
        <f>IF(H122="", "", J122-H122)</f>
        <v/>
      </c>
      <c r="J122" s="47">
        <f>IF(ISBLANK(Projection!P119), "", Projection!P119)</f>
        <v>-837.264414</v>
      </c>
      <c r="K122" s="47">
        <f>IF(ISBLANK('Committed Cost'!P119), "", 'Committed Cost'!P119)</f>
        <v>-837.26441401</v>
      </c>
      <c r="L122" s="39">
        <f>IFERROR(IF(ISBLANK(F122), "", K122/F122), 0)</f>
        <v>0</v>
      </c>
      <c r="M122" s="47">
        <f>IF(F122="", "", F122-K122)</f>
        <v>837.26441401</v>
      </c>
      <c r="N122" s="47">
        <f>IF(ISBLANK(Accrual!P119), "", Accrual!P119)</f>
        <v>-837.264414</v>
      </c>
      <c r="O122" s="47">
        <f>IF(ISBLANK('Cash Flow'!P119), "",'Cash Flow'!P119)</f>
        <v>-837.26441399155</v>
      </c>
      <c r="P122" s="39">
        <f>IFERROR(IF(O122="", "", O122/K122), 0)</f>
        <v>0.99999999997797</v>
      </c>
      <c r="Q122" s="48">
        <f>IF(K122="", "", K122-O122)</f>
        <v>-1.8447963157087E-8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0</v>
      </c>
      <c r="D124" s="49">
        <f>D112-D122</f>
        <v>0</v>
      </c>
      <c r="E124" s="49">
        <f>E112-E122</f>
        <v>0</v>
      </c>
      <c r="F124" s="49">
        <f>F112-F122</f>
        <v>0</v>
      </c>
      <c r="G124" s="49">
        <f>G112-G122</f>
        <v>13959</v>
      </c>
      <c r="H124" s="49"/>
      <c r="I124" s="49" t="str">
        <f>IF(H124="", "", J124-H124)</f>
        <v/>
      </c>
      <c r="J124" s="49">
        <f>IF(ISBLANK(Projection!P121), "", Projection!P121)</f>
        <v>6379.864414</v>
      </c>
      <c r="K124" s="49">
        <f>IF(ISBLANK('Committed Cost'!P121), "", 'Committed Cost'!P121)</f>
        <v>-11296.48605599</v>
      </c>
      <c r="L124" s="40">
        <f>IFERROR(IF(ISBLANK(F124), "", K124/F124), 0)</f>
        <v>0</v>
      </c>
      <c r="M124" s="49">
        <f>IF(F124="", "", F124-K124)</f>
        <v>11296.48605599</v>
      </c>
      <c r="N124" s="49">
        <f>IF(ISBLANK(Accrual!P121), "", Accrual!P121)</f>
        <v>4887.857074</v>
      </c>
      <c r="O124" s="49">
        <f>IF(ISBLANK('Cash Flow'!P121), "",'Cash Flow'!P121)</f>
        <v>3235.5917039915</v>
      </c>
      <c r="P124" s="40">
        <f>IFERROR(IF(O124="", "", O124/K124), 0)</f>
        <v>-0.28642461805863</v>
      </c>
      <c r="Q124" s="50">
        <f>IF(K124="", "", K124-O124)</f>
        <v>-14532.077759982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0</v>
      </c>
      <c r="D128" s="43">
        <f>(D39-D21-D23-D36)*D127</f>
        <v>0</v>
      </c>
      <c r="E128" s="43">
        <f>(E39-E21-E23-E36)*E127</f>
        <v>0</v>
      </c>
      <c r="F128" s="43">
        <f>(F39-F21-F23-F36)*F127</f>
        <v>0</v>
      </c>
      <c r="G128" s="43">
        <f>(G39-G21-G23-G36)*G127</f>
        <v>2959.98</v>
      </c>
      <c r="H128" s="43"/>
      <c r="I128" s="43" t="str">
        <f>IF(H128="", "", J128-H128)</f>
        <v/>
      </c>
      <c r="J128" s="43">
        <f>IF(ISBLANK(Projection!P125), "", Projection!P125)</f>
        <v>1691.67</v>
      </c>
      <c r="K128" s="43">
        <f>IF(ISBLANK('Committed Cost'!P125), "", 'Committed Cost'!P125)</f>
        <v>939.78</v>
      </c>
      <c r="L128" s="37">
        <f>IFERROR(IF(ISBLANK(F128), "", K128/F128), 0)</f>
        <v>0</v>
      </c>
      <c r="M128" s="43">
        <f>IF(F128="", "", F128-K128)</f>
        <v>-939.78</v>
      </c>
      <c r="N128" s="43">
        <f>IF(ISBLANK(Accrual!P125), "", Accrual!P125)</f>
        <v>1422.4724124</v>
      </c>
      <c r="O128" s="43">
        <f>IF(ISBLANK('Cash Flow'!P125), "",'Cash Flow'!P125)</f>
        <v>1363.0804893</v>
      </c>
      <c r="P128" s="37">
        <f>IFERROR(IF(O128="", "", O128/K128), 0)</f>
        <v>1.4504250881057</v>
      </c>
      <c r="Q128" s="44">
        <f>IF(K128="", "", K128-O128)</f>
        <v>-423.3004893</v>
      </c>
    </row>
    <row r="129" spans="1:18" customHeight="1" ht="12.75" hidden="true">
      <c r="A129" s="18" t="s">
        <v>216</v>
      </c>
      <c r="B129" s="4" t="s">
        <v>217</v>
      </c>
      <c r="C129" s="43">
        <f>(C39-C21-C23-C36)*0.000000</f>
        <v>0</v>
      </c>
      <c r="D129" s="43">
        <f>(D39-D21-D23-D36)*0.000000</f>
        <v>0</v>
      </c>
      <c r="E129" s="43">
        <f>(E39-E21-E23-E36)*0.000000</f>
        <v>0</v>
      </c>
      <c r="F129" s="43">
        <f>(F39-F21-F23-F36)*0.000000</f>
        <v>0</v>
      </c>
      <c r="G129" s="43">
        <f>(G39-G21-G23-G36)*0.000000</f>
        <v>0</v>
      </c>
      <c r="H129" s="43"/>
      <c r="I129" s="43" t="str">
        <f>IF(H129="", "", J129-H129)</f>
        <v/>
      </c>
      <c r="J129" s="43">
        <f>IF(ISBLANK(Projection!P126), "", Projection!P126)</f>
        <v>0</v>
      </c>
      <c r="K129" s="43">
        <f>IF(ISBLANK('Committed Cost'!P126), "", 'Committed Cost'!P126)</f>
        <v>0</v>
      </c>
      <c r="L129" s="37">
        <f>IFERROR(IF(ISBLANK(F129), "", K129/F129), 0)</f>
        <v>0</v>
      </c>
      <c r="M129" s="43">
        <f>IF(F129="", "", F129-K129)</f>
        <v>0</v>
      </c>
      <c r="N129" s="43">
        <f>IF(ISBLANK(Accrual!P126), "", Accrual!P126)</f>
        <v>0</v>
      </c>
      <c r="O129" s="43">
        <f>IF(ISBLANK('Cash Flow'!P126), "",'Cash Flow'!P126)</f>
        <v>0</v>
      </c>
      <c r="P129" s="37">
        <f>IFERROR(IF(O129="", "", O129/K129), 0)</f>
        <v>0</v>
      </c>
      <c r="Q129" s="44">
        <f>IF(K129="", "", K129-O129)</f>
        <v>0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0</v>
      </c>
      <c r="D132" s="51">
        <f>D124-SUM(D128:D129)+IF(ISBLANK(D130), 0, D130)</f>
        <v>0</v>
      </c>
      <c r="E132" s="51">
        <f>E124-SUM(E128:E129)+IF(ISBLANK(E130), 0, E130)</f>
        <v>0</v>
      </c>
      <c r="F132" s="51">
        <f>F124-SUM(F128:F129)+IF(ISBLANK(F130), 0, F130)</f>
        <v>0</v>
      </c>
      <c r="G132" s="51">
        <f>G124-SUM(G128:G129)+IF(ISBLANK(G130), 0, G130)</f>
        <v>10999.02</v>
      </c>
      <c r="H132" s="51"/>
      <c r="I132" s="51" t="str">
        <f>IF(H132="", "", J132-H132)</f>
        <v/>
      </c>
      <c r="J132" s="51">
        <f>IF(ISBLANK(Projection!P129), "", Projection!P129)</f>
        <v>4688.194414</v>
      </c>
      <c r="K132" s="51">
        <f>IF(ISBLANK('Committed Cost'!P129), "", 'Committed Cost'!P129)</f>
        <v>-12236.26605599</v>
      </c>
      <c r="L132" s="41">
        <f>IFERROR(IF(ISBLANK(F132), "", K132/F132), 0)</f>
        <v>0</v>
      </c>
      <c r="M132" s="51">
        <f>IF(F132="", "", F132-K132)</f>
        <v>12236.26605599</v>
      </c>
      <c r="N132" s="51">
        <f>IF(ISBLANK(Accrual!P129), "", Accrual!P129)</f>
        <v>3465.3846616</v>
      </c>
      <c r="O132" s="51">
        <f>IF(ISBLANK('Cash Flow'!P129), "",'Cash Flow'!P129)</f>
        <v>1872.5112146915</v>
      </c>
      <c r="P132" s="41">
        <f>IFERROR(IF(O132="", "", O132/K132), 0)</f>
        <v>-0.15302962571453</v>
      </c>
      <c r="Q132" s="52">
        <f>IF(K132="", "", K132-O132)</f>
        <v>-14108.777270682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1062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26122</v>
      </c>
      <c r="D14" s="43">
        <v>0</v>
      </c>
      <c r="E14" s="43">
        <v>0</v>
      </c>
      <c r="F14" s="43">
        <v>0</v>
      </c>
      <c r="G14" s="43">
        <v>6500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32622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10322</v>
      </c>
      <c r="D28" s="43">
        <v>6945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17267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36444</v>
      </c>
      <c r="D36" s="47">
        <f>SUM(D13:D35)</f>
        <v>6945</v>
      </c>
      <c r="E36" s="47">
        <f>SUM(E13:E35)</f>
        <v>0</v>
      </c>
      <c r="F36" s="47">
        <f>SUM(F13:F35)</f>
        <v>0</v>
      </c>
      <c r="G36" s="47">
        <f>SUM(G13:G35)</f>
        <v>6500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49889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10050</v>
      </c>
      <c r="D40" s="43">
        <v>1424</v>
      </c>
      <c r="E40" s="43">
        <v>0</v>
      </c>
      <c r="F40" s="43">
        <v>242</v>
      </c>
      <c r="G40" s="43">
        <v>214</v>
      </c>
      <c r="H40" s="43">
        <v>367</v>
      </c>
      <c r="I40" s="43">
        <v>7</v>
      </c>
      <c r="J40" s="43">
        <v>610</v>
      </c>
      <c r="K40" s="43">
        <v>350</v>
      </c>
      <c r="L40" s="43">
        <v>279</v>
      </c>
      <c r="M40" s="43"/>
      <c r="N40" s="43"/>
      <c r="O40" s="43"/>
      <c r="P40" s="44">
        <f>SUM(C40:O40)</f>
        <v>13543</v>
      </c>
    </row>
    <row r="41" spans="1:16" customHeight="1" ht="12.75">
      <c r="A41" s="18" t="s">
        <v>83</v>
      </c>
      <c r="B41" s="4" t="s">
        <v>84</v>
      </c>
      <c r="C41" s="43">
        <v>9</v>
      </c>
      <c r="D41" s="43">
        <v>11</v>
      </c>
      <c r="E41" s="43">
        <v>0</v>
      </c>
      <c r="F41" s="43">
        <v>0</v>
      </c>
      <c r="G41" s="43">
        <v>0</v>
      </c>
      <c r="H41" s="43">
        <v>0</v>
      </c>
      <c r="I41" s="43">
        <v>1</v>
      </c>
      <c r="J41" s="43">
        <v>0</v>
      </c>
      <c r="K41" s="43">
        <v>0</v>
      </c>
      <c r="L41" s="43">
        <v>2</v>
      </c>
      <c r="M41" s="43"/>
      <c r="N41" s="43"/>
      <c r="O41" s="43"/>
      <c r="P41" s="44">
        <f>SUM(C41:O41)</f>
        <v>23</v>
      </c>
    </row>
    <row r="42" spans="1:16" customHeight="1" ht="12.75">
      <c r="A42" s="18" t="s">
        <v>85</v>
      </c>
      <c r="B42" s="4" t="s">
        <v>86</v>
      </c>
      <c r="C42" s="43">
        <v>2481</v>
      </c>
      <c r="D42" s="43">
        <v>146</v>
      </c>
      <c r="E42" s="43">
        <v>151</v>
      </c>
      <c r="F42" s="43">
        <v>141</v>
      </c>
      <c r="G42" s="43">
        <v>146</v>
      </c>
      <c r="H42" s="43">
        <v>108</v>
      </c>
      <c r="I42" s="43">
        <v>394</v>
      </c>
      <c r="J42" s="43">
        <v>0</v>
      </c>
      <c r="K42" s="43">
        <v>0</v>
      </c>
      <c r="L42" s="43">
        <v>30</v>
      </c>
      <c r="M42" s="43"/>
      <c r="N42" s="43"/>
      <c r="O42" s="43"/>
      <c r="P42" s="44">
        <f>SUM(C42:O42)</f>
        <v>3597</v>
      </c>
    </row>
    <row r="43" spans="1:16" customHeight="1" ht="12.75">
      <c r="A43" s="18" t="s">
        <v>87</v>
      </c>
      <c r="B43" s="4" t="s">
        <v>88</v>
      </c>
      <c r="C43" s="43">
        <v>1236.1</v>
      </c>
      <c r="D43" s="43">
        <v>338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1574.1</v>
      </c>
    </row>
    <row r="44" spans="1:16" customHeight="1" ht="12.75">
      <c r="A44" s="18" t="s">
        <v>89</v>
      </c>
      <c r="B44" s="4" t="s">
        <v>90</v>
      </c>
      <c r="C44" s="43">
        <v>56.8</v>
      </c>
      <c r="D44" s="43">
        <v>0</v>
      </c>
      <c r="E44" s="43">
        <v>0</v>
      </c>
      <c r="F44" s="43">
        <v>208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264.8</v>
      </c>
    </row>
    <row r="45" spans="1:16" customHeight="1" ht="12.75">
      <c r="A45" s="18" t="s">
        <v>91</v>
      </c>
      <c r="B45" s="4" t="s">
        <v>92</v>
      </c>
      <c r="C45" s="43">
        <v>6783</v>
      </c>
      <c r="D45" s="43">
        <v>1227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8010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107.2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107.2</v>
      </c>
    </row>
    <row r="48" spans="1:16" customHeight="1" ht="12.75">
      <c r="A48" s="18" t="s">
        <v>97</v>
      </c>
      <c r="B48" s="4" t="s">
        <v>98</v>
      </c>
      <c r="C48" s="43">
        <v>965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965</v>
      </c>
    </row>
    <row r="49" spans="1:16" customHeight="1" ht="12.75">
      <c r="A49" s="18" t="s">
        <v>99</v>
      </c>
      <c r="B49" s="4" t="s">
        <v>100</v>
      </c>
      <c r="C49" s="43">
        <v>17</v>
      </c>
      <c r="D49" s="43">
        <v>62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79</v>
      </c>
    </row>
    <row r="50" spans="1:16" customHeight="1" ht="12.75">
      <c r="A50" s="18" t="s">
        <v>101</v>
      </c>
      <c r="B50" s="4" t="s">
        <v>102</v>
      </c>
      <c r="C50" s="43">
        <v>3989.8</v>
      </c>
      <c r="D50" s="43">
        <v>122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4111.8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1911</v>
      </c>
      <c r="D54" s="43">
        <v>676</v>
      </c>
      <c r="E54" s="43">
        <v>330</v>
      </c>
      <c r="F54" s="43">
        <v>172</v>
      </c>
      <c r="G54" s="43">
        <v>158</v>
      </c>
      <c r="H54" s="43">
        <v>0</v>
      </c>
      <c r="I54" s="43">
        <v>22</v>
      </c>
      <c r="J54" s="43">
        <v>44</v>
      </c>
      <c r="K54" s="43">
        <v>70</v>
      </c>
      <c r="L54" s="43">
        <v>24</v>
      </c>
      <c r="M54" s="43"/>
      <c r="N54" s="43"/>
      <c r="O54" s="43"/>
      <c r="P54" s="44">
        <f>SUM(C54:O54)</f>
        <v>3407</v>
      </c>
    </row>
    <row r="55" spans="1:16" customHeight="1" ht="12.75">
      <c r="A55" s="18" t="s">
        <v>110</v>
      </c>
      <c r="B55" s="4" t="s">
        <v>111</v>
      </c>
      <c r="C55" s="43">
        <v>1314</v>
      </c>
      <c r="D55" s="43">
        <v>1030</v>
      </c>
      <c r="E55" s="43">
        <v>125</v>
      </c>
      <c r="F55" s="43">
        <v>0</v>
      </c>
      <c r="G55" s="43">
        <v>1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2470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2542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2542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592</v>
      </c>
      <c r="D66" s="43">
        <v>0</v>
      </c>
      <c r="E66" s="43">
        <v>135</v>
      </c>
      <c r="F66" s="43">
        <v>0</v>
      </c>
      <c r="G66" s="43">
        <v>0</v>
      </c>
      <c r="H66" s="43">
        <v>0</v>
      </c>
      <c r="I66" s="43">
        <v>6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733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456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456</v>
      </c>
    </row>
    <row r="74" spans="1:16" customHeight="1" ht="12.75">
      <c r="A74" s="18" t="s">
        <v>147</v>
      </c>
      <c r="B74" s="4" t="s">
        <v>148</v>
      </c>
      <c r="C74" s="43">
        <v>1209</v>
      </c>
      <c r="D74" s="43">
        <v>195</v>
      </c>
      <c r="E74" s="43">
        <v>30</v>
      </c>
      <c r="F74" s="43">
        <v>0</v>
      </c>
      <c r="G74" s="43">
        <v>4</v>
      </c>
      <c r="H74" s="43">
        <v>103</v>
      </c>
      <c r="I74" s="43">
        <v>92</v>
      </c>
      <c r="J74" s="43">
        <v>110</v>
      </c>
      <c r="K74" s="43">
        <v>130</v>
      </c>
      <c r="L74" s="43">
        <v>210</v>
      </c>
      <c r="M74" s="43"/>
      <c r="N74" s="43"/>
      <c r="O74" s="43"/>
      <c r="P74" s="44">
        <f>SUM(C74:O74)</f>
        <v>2083</v>
      </c>
    </row>
    <row r="75" spans="1:16" customHeight="1" ht="12.75">
      <c r="A75" s="18" t="s">
        <v>149</v>
      </c>
      <c r="B75" s="4" t="s">
        <v>150</v>
      </c>
      <c r="C75" s="43">
        <v>271.5</v>
      </c>
      <c r="D75" s="43">
        <v>14</v>
      </c>
      <c r="E75" s="43">
        <v>15</v>
      </c>
      <c r="F75" s="43">
        <v>4</v>
      </c>
      <c r="G75" s="43">
        <v>8</v>
      </c>
      <c r="H75" s="43">
        <v>26</v>
      </c>
      <c r="I75" s="43">
        <v>0</v>
      </c>
      <c r="J75" s="43">
        <v>10</v>
      </c>
      <c r="K75" s="43">
        <v>30</v>
      </c>
      <c r="L75" s="43">
        <v>2</v>
      </c>
      <c r="M75" s="43"/>
      <c r="N75" s="43"/>
      <c r="O75" s="43"/>
      <c r="P75" s="44">
        <f>SUM(C75:O75)</f>
        <v>380.5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0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0</v>
      </c>
    </row>
    <row r="84" spans="1:16" customHeight="1" ht="12.75">
      <c r="A84" s="18" t="s">
        <v>166</v>
      </c>
      <c r="B84" s="4" t="s">
        <v>167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0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33990.4</v>
      </c>
      <c r="D107" s="47">
        <f>SUM(D38:D106)</f>
        <v>5245</v>
      </c>
      <c r="E107" s="47">
        <f>SUM(E38:E106)</f>
        <v>786</v>
      </c>
      <c r="F107" s="47">
        <f>SUM(F38:F106)</f>
        <v>767</v>
      </c>
      <c r="G107" s="47">
        <f>SUM(G38:G106)</f>
        <v>531</v>
      </c>
      <c r="H107" s="47">
        <f>SUM(H38:H106)</f>
        <v>604</v>
      </c>
      <c r="I107" s="47">
        <f>SUM(I38:I106)</f>
        <v>522</v>
      </c>
      <c r="J107" s="47">
        <f>SUM(J38:J106)</f>
        <v>774</v>
      </c>
      <c r="K107" s="47">
        <f>SUM(K38:K106)</f>
        <v>580</v>
      </c>
      <c r="L107" s="47">
        <f>SUM(L38:L106)</f>
        <v>547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44346.4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2453.6</v>
      </c>
      <c r="D109" s="49">
        <f>D36-D107</f>
        <v>1700</v>
      </c>
      <c r="E109" s="49">
        <f>E36-E107</f>
        <v>-786</v>
      </c>
      <c r="F109" s="49">
        <f>F36-F107</f>
        <v>-767</v>
      </c>
      <c r="G109" s="49">
        <f>G36-G107</f>
        <v>5969</v>
      </c>
      <c r="H109" s="49">
        <f>H36-H107</f>
        <v>-604</v>
      </c>
      <c r="I109" s="49">
        <f>I36-I107</f>
        <v>-522</v>
      </c>
      <c r="J109" s="49">
        <f>J36-J107</f>
        <v>-774</v>
      </c>
      <c r="K109" s="49">
        <f>K36-K107</f>
        <v>-580</v>
      </c>
      <c r="L109" s="49">
        <f>L36-L107</f>
        <v>-547</v>
      </c>
      <c r="M109" s="49"/>
      <c r="N109" s="49"/>
      <c r="O109" s="49"/>
      <c r="P109" s="50">
        <f>P36-P107</f>
        <v>5542.6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-738.21077869</v>
      </c>
      <c r="D118" s="45">
        <v>-14.7715132</v>
      </c>
      <c r="E118" s="45">
        <v>-13.55823664</v>
      </c>
      <c r="F118" s="45">
        <v>-10.83020887</v>
      </c>
      <c r="G118" s="45">
        <v>-12.3222847</v>
      </c>
      <c r="H118" s="45">
        <v>-12.54951568</v>
      </c>
      <c r="I118" s="45">
        <v>-10.14046599</v>
      </c>
      <c r="J118" s="45">
        <v>-8.25728544</v>
      </c>
      <c r="K118" s="45">
        <v>-8.85436871</v>
      </c>
      <c r="L118" s="45">
        <v>-7.76975608</v>
      </c>
      <c r="M118" s="45"/>
      <c r="N118" s="45"/>
      <c r="O118" s="45"/>
      <c r="P118" s="46">
        <f>SUM(C118:O118)</f>
        <v>-837.264414</v>
      </c>
    </row>
    <row r="119" spans="1:16" customHeight="1" ht="12.75">
      <c r="A119" s="20">
        <v>4.3</v>
      </c>
      <c r="B119" s="15" t="s">
        <v>210</v>
      </c>
      <c r="C119" s="47">
        <f>SUM(C111:C118)</f>
        <v>-738.21077869</v>
      </c>
      <c r="D119" s="47">
        <f>SUM(D111:D118)</f>
        <v>-14.7715132</v>
      </c>
      <c r="E119" s="47">
        <f>SUM(E111:E118)</f>
        <v>-13.55823664</v>
      </c>
      <c r="F119" s="47">
        <f>SUM(F111:F118)</f>
        <v>-10.83020887</v>
      </c>
      <c r="G119" s="47">
        <f>SUM(G111:G118)</f>
        <v>-12.3222847</v>
      </c>
      <c r="H119" s="47">
        <f>SUM(H111:H118)</f>
        <v>-12.54951568</v>
      </c>
      <c r="I119" s="47">
        <f>SUM(I111:I118)</f>
        <v>-10.14046599</v>
      </c>
      <c r="J119" s="47">
        <f>SUM(J111:J118)</f>
        <v>-8.25728544</v>
      </c>
      <c r="K119" s="47">
        <f>SUM(K111:K118)</f>
        <v>-8.85436871</v>
      </c>
      <c r="L119" s="47">
        <f>SUM(L111:L118)</f>
        <v>-7.76975608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-837.264414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3191.81077869</v>
      </c>
      <c r="D121" s="49">
        <f>D109-D119</f>
        <v>1714.7715132</v>
      </c>
      <c r="E121" s="49">
        <f>E109-E119</f>
        <v>-772.44176336</v>
      </c>
      <c r="F121" s="49">
        <f>F109-F119</f>
        <v>-756.16979113</v>
      </c>
      <c r="G121" s="49">
        <f>G109-G119</f>
        <v>5981.3222847</v>
      </c>
      <c r="H121" s="49">
        <f>H109-H119</f>
        <v>-591.45048432</v>
      </c>
      <c r="I121" s="49">
        <f>I109-I119</f>
        <v>-511.85953401</v>
      </c>
      <c r="J121" s="49">
        <f>J109-J119</f>
        <v>-765.74271456</v>
      </c>
      <c r="K121" s="49">
        <f>K109-K119</f>
        <v>-571.14563129</v>
      </c>
      <c r="L121" s="49">
        <f>L109-L119</f>
        <v>-539.23024392</v>
      </c>
      <c r="M121" s="49"/>
      <c r="N121" s="49"/>
      <c r="O121" s="49"/>
      <c r="P121" s="50">
        <f>P109-P119</f>
        <v>6379.864414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1093.32</v>
      </c>
      <c r="D125" s="43">
        <f>(D36-D18-D20-D33)*D124</f>
        <v>208.35</v>
      </c>
      <c r="E125" s="43">
        <f>(E36-E18-E20-E33)*E124</f>
        <v>0</v>
      </c>
      <c r="F125" s="43">
        <f>(F36-F18-F20-F33)*F124</f>
        <v>0</v>
      </c>
      <c r="G125" s="43">
        <f>(G36-G18-G20-G33)*G124</f>
        <v>390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1691.67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2098.49077869</v>
      </c>
      <c r="D129" s="51">
        <f>D121-SUM(D125:D126)+IF(ISBLANK(D127), 0, D127)</f>
        <v>1506.4215132</v>
      </c>
      <c r="E129" s="51">
        <f>E121-SUM(E125:E126)+IF(ISBLANK(E127), 0, E127)</f>
        <v>-772.44176336</v>
      </c>
      <c r="F129" s="51">
        <f>F121-SUM(F125:F126)+IF(ISBLANK(F127), 0, F127)</f>
        <v>-756.16979113</v>
      </c>
      <c r="G129" s="51">
        <f>G121-SUM(G125:G126)+IF(ISBLANK(G127), 0, G127)</f>
        <v>5591.3222847</v>
      </c>
      <c r="H129" s="51">
        <f>H121-SUM(H125:H126)+IF(ISBLANK(H127), 0, H127)</f>
        <v>-591.45048432</v>
      </c>
      <c r="I129" s="51">
        <f>I121-SUM(I125:I126)+IF(ISBLANK(I127), 0, I127)</f>
        <v>-511.85953401</v>
      </c>
      <c r="J129" s="51">
        <f>J121-SUM(J125:J126)+IF(ISBLANK(J127), 0, J127)</f>
        <v>-765.74271456</v>
      </c>
      <c r="K129" s="51">
        <f>K121-SUM(K125:K126)+IF(ISBLANK(K127), 0, K127)</f>
        <v>-571.14563129</v>
      </c>
      <c r="L129" s="51">
        <f>L121-SUM(L125:L126)+IF(ISBLANK(L127), 0, L127)</f>
        <v>-539.23024392</v>
      </c>
      <c r="M129" s="51"/>
      <c r="N129" s="51"/>
      <c r="O129" s="51"/>
      <c r="P129" s="52">
        <f>P121-SUM(P125:P126)+IF(ISBLANK(P127), 0, P127)</f>
        <v>4688.194414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1062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21004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21004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10322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10322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31326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31326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10049.15</v>
      </c>
      <c r="D40" s="43">
        <v>713.11</v>
      </c>
      <c r="E40" s="43">
        <v>566.4</v>
      </c>
      <c r="F40" s="43">
        <v>386.6</v>
      </c>
      <c r="G40" s="43">
        <v>214.5</v>
      </c>
      <c r="H40" s="43">
        <v>366.88</v>
      </c>
      <c r="I40" s="43">
        <v>292.3223</v>
      </c>
      <c r="J40" s="43">
        <v>319.523</v>
      </c>
      <c r="K40" s="43">
        <v>317.1</v>
      </c>
      <c r="L40" s="43">
        <v>317.02</v>
      </c>
      <c r="M40" s="43"/>
      <c r="N40" s="43"/>
      <c r="O40" s="43"/>
      <c r="P40" s="44">
        <f>SUM(C40:O40)</f>
        <v>13542.6053</v>
      </c>
    </row>
    <row r="41" spans="1:16" customHeight="1" ht="12.75">
      <c r="A41" s="18" t="s">
        <v>83</v>
      </c>
      <c r="B41" s="4" t="s">
        <v>84</v>
      </c>
      <c r="C41" s="43">
        <v>8.05</v>
      </c>
      <c r="D41" s="43">
        <v>2.61</v>
      </c>
      <c r="E41" s="43">
        <v>4.14</v>
      </c>
      <c r="F41" s="43">
        <v>2</v>
      </c>
      <c r="G41" s="43">
        <v>0</v>
      </c>
      <c r="H41" s="43">
        <v>0</v>
      </c>
      <c r="I41" s="43">
        <v>3.6612</v>
      </c>
      <c r="J41" s="43">
        <v>0</v>
      </c>
      <c r="K41" s="43">
        <v>0</v>
      </c>
      <c r="L41" s="43">
        <v>2.14</v>
      </c>
      <c r="M41" s="43"/>
      <c r="N41" s="43"/>
      <c r="O41" s="43"/>
      <c r="P41" s="44">
        <f>SUM(C41:O41)</f>
        <v>22.6012</v>
      </c>
    </row>
    <row r="42" spans="1:16" customHeight="1" ht="12.75">
      <c r="A42" s="18" t="s">
        <v>85</v>
      </c>
      <c r="B42" s="4" t="s">
        <v>86</v>
      </c>
      <c r="C42" s="43">
        <v>2480.99</v>
      </c>
      <c r="D42" s="43">
        <v>145.02</v>
      </c>
      <c r="E42" s="43">
        <v>151</v>
      </c>
      <c r="F42" s="43">
        <v>141.23</v>
      </c>
      <c r="G42" s="43">
        <v>146.32</v>
      </c>
      <c r="H42" s="43">
        <v>108.03</v>
      </c>
      <c r="I42" s="43">
        <v>105.8028</v>
      </c>
      <c r="J42" s="43">
        <v>105.725</v>
      </c>
      <c r="K42" s="43">
        <v>105.92</v>
      </c>
      <c r="L42" s="43">
        <v>105.73</v>
      </c>
      <c r="M42" s="43"/>
      <c r="N42" s="43"/>
      <c r="O42" s="43"/>
      <c r="P42" s="44">
        <f>SUM(C42:O42)</f>
        <v>3595.7678</v>
      </c>
    </row>
    <row r="43" spans="1:16" customHeight="1" ht="12.75">
      <c r="A43" s="18" t="s">
        <v>87</v>
      </c>
      <c r="B43" s="4" t="s">
        <v>88</v>
      </c>
      <c r="C43" s="43">
        <v>1235.22</v>
      </c>
      <c r="D43" s="43">
        <v>43</v>
      </c>
      <c r="E43" s="43">
        <v>35</v>
      </c>
      <c r="F43" s="43">
        <v>32.75</v>
      </c>
      <c r="G43" s="43">
        <v>35.38</v>
      </c>
      <c r="H43" s="43">
        <v>34</v>
      </c>
      <c r="I43" s="43">
        <v>36.95</v>
      </c>
      <c r="J43" s="43">
        <v>35.3833</v>
      </c>
      <c r="K43" s="43">
        <v>32.75</v>
      </c>
      <c r="L43" s="43">
        <v>35.09</v>
      </c>
      <c r="M43" s="43"/>
      <c r="N43" s="43"/>
      <c r="O43" s="43"/>
      <c r="P43" s="44">
        <f>SUM(C43:O43)</f>
        <v>1555.5233</v>
      </c>
    </row>
    <row r="44" spans="1:16" customHeight="1" ht="12.75">
      <c r="A44" s="18" t="s">
        <v>89</v>
      </c>
      <c r="B44" s="4" t="s">
        <v>90</v>
      </c>
      <c r="C44" s="43">
        <v>56.511</v>
      </c>
      <c r="D44" s="43">
        <v>18.726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27.835</v>
      </c>
      <c r="L44" s="43">
        <v>0</v>
      </c>
      <c r="M44" s="43"/>
      <c r="N44" s="43"/>
      <c r="O44" s="43"/>
      <c r="P44" s="44">
        <f>SUM(C44:O44)</f>
        <v>103.072</v>
      </c>
    </row>
    <row r="45" spans="1:16" customHeight="1" ht="12.75">
      <c r="A45" s="18" t="s">
        <v>91</v>
      </c>
      <c r="B45" s="4" t="s">
        <v>92</v>
      </c>
      <c r="C45" s="43">
        <v>6864.82367</v>
      </c>
      <c r="D45" s="43">
        <v>181.56388</v>
      </c>
      <c r="E45" s="43">
        <v>158.06732</v>
      </c>
      <c r="F45" s="43">
        <v>91.4732</v>
      </c>
      <c r="G45" s="43">
        <v>22.5531</v>
      </c>
      <c r="H45" s="43">
        <v>81.38058</v>
      </c>
      <c r="I45" s="43">
        <v>101.80518</v>
      </c>
      <c r="J45" s="43">
        <v>172.43115</v>
      </c>
      <c r="K45" s="43">
        <v>75.17292</v>
      </c>
      <c r="L45" s="43">
        <v>13.5225</v>
      </c>
      <c r="M45" s="43"/>
      <c r="N45" s="43"/>
      <c r="O45" s="43"/>
      <c r="P45" s="44">
        <f>SUM(C45:O45)</f>
        <v>7762.7935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72.3739</v>
      </c>
      <c r="D47" s="43">
        <v>0.653</v>
      </c>
      <c r="E47" s="43">
        <v>1.367</v>
      </c>
      <c r="F47" s="43">
        <v>0.333</v>
      </c>
      <c r="G47" s="43">
        <v>2.24011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76.96701</v>
      </c>
    </row>
    <row r="48" spans="1:16" customHeight="1" ht="12.75">
      <c r="A48" s="18" t="s">
        <v>97</v>
      </c>
      <c r="B48" s="4" t="s">
        <v>98</v>
      </c>
      <c r="C48" s="43">
        <v>959.404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959.404</v>
      </c>
    </row>
    <row r="49" spans="1:16" customHeight="1" ht="12.75">
      <c r="A49" s="18" t="s">
        <v>99</v>
      </c>
      <c r="B49" s="4" t="s">
        <v>100</v>
      </c>
      <c r="C49" s="43">
        <v>16.145</v>
      </c>
      <c r="D49" s="43">
        <v>0</v>
      </c>
      <c r="E49" s="43">
        <v>35.98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26.45</v>
      </c>
      <c r="M49" s="43"/>
      <c r="N49" s="43"/>
      <c r="O49" s="43"/>
      <c r="P49" s="44">
        <f>SUM(C49:O49)</f>
        <v>78.575</v>
      </c>
    </row>
    <row r="50" spans="1:16" customHeight="1" ht="12.75">
      <c r="A50" s="18" t="s">
        <v>101</v>
      </c>
      <c r="B50" s="4" t="s">
        <v>102</v>
      </c>
      <c r="C50" s="43">
        <v>3893.55689</v>
      </c>
      <c r="D50" s="43">
        <v>3.972</v>
      </c>
      <c r="E50" s="43">
        <v>4.9405</v>
      </c>
      <c r="F50" s="43">
        <v>12.4435</v>
      </c>
      <c r="G50" s="43">
        <v>2.754</v>
      </c>
      <c r="H50" s="43">
        <v>6.061</v>
      </c>
      <c r="I50" s="43">
        <v>1.956</v>
      </c>
      <c r="J50" s="43">
        <v>6.576</v>
      </c>
      <c r="K50" s="43">
        <v>8.226</v>
      </c>
      <c r="L50" s="43">
        <v>4.12</v>
      </c>
      <c r="M50" s="43"/>
      <c r="N50" s="43"/>
      <c r="O50" s="43"/>
      <c r="P50" s="44">
        <f>SUM(C50:O50)</f>
        <v>3944.60589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1910.6297</v>
      </c>
      <c r="D54" s="43">
        <v>0</v>
      </c>
      <c r="E54" s="43">
        <v>522.9752</v>
      </c>
      <c r="F54" s="43">
        <v>554.9596</v>
      </c>
      <c r="G54" s="43">
        <v>245.1836</v>
      </c>
      <c r="H54" s="43">
        <v>13.0825</v>
      </c>
      <c r="I54" s="43">
        <v>0</v>
      </c>
      <c r="J54" s="43">
        <v>21.3075</v>
      </c>
      <c r="K54" s="43">
        <v>44.603</v>
      </c>
      <c r="L54" s="43">
        <v>93.4662</v>
      </c>
      <c r="M54" s="43"/>
      <c r="N54" s="43"/>
      <c r="O54" s="43"/>
      <c r="P54" s="44">
        <f>SUM(C54:O54)</f>
        <v>3406.2073</v>
      </c>
    </row>
    <row r="55" spans="1:16" customHeight="1" ht="12.75">
      <c r="A55" s="18" t="s">
        <v>110</v>
      </c>
      <c r="B55" s="4" t="s">
        <v>111</v>
      </c>
      <c r="C55" s="43">
        <v>1347.86456</v>
      </c>
      <c r="D55" s="43">
        <v>960.31271</v>
      </c>
      <c r="E55" s="43">
        <v>161.64581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2469.82308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2485.697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2485.697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591.4155</v>
      </c>
      <c r="D66" s="43">
        <v>0</v>
      </c>
      <c r="E66" s="43">
        <v>0</v>
      </c>
      <c r="F66" s="43">
        <v>132</v>
      </c>
      <c r="G66" s="43">
        <v>0</v>
      </c>
      <c r="H66" s="43">
        <v>0</v>
      </c>
      <c r="I66" s="43">
        <v>8.625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732.0405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454.914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454.914</v>
      </c>
    </row>
    <row r="74" spans="1:16" customHeight="1" ht="12.75">
      <c r="A74" s="18" t="s">
        <v>147</v>
      </c>
      <c r="B74" s="4" t="s">
        <v>148</v>
      </c>
      <c r="C74" s="43">
        <v>1209.38299</v>
      </c>
      <c r="D74" s="43">
        <v>24.161</v>
      </c>
      <c r="E74" s="43">
        <v>132.449</v>
      </c>
      <c r="F74" s="43">
        <v>71.61</v>
      </c>
      <c r="G74" s="43">
        <v>3.3</v>
      </c>
      <c r="H74" s="43">
        <v>30.25</v>
      </c>
      <c r="I74" s="43">
        <v>75.9</v>
      </c>
      <c r="J74" s="43">
        <v>99.2</v>
      </c>
      <c r="K74" s="43">
        <v>91</v>
      </c>
      <c r="L74" s="43">
        <v>163.75</v>
      </c>
      <c r="M74" s="43"/>
      <c r="N74" s="43"/>
      <c r="O74" s="43"/>
      <c r="P74" s="44">
        <f>SUM(C74:O74)</f>
        <v>1901.00299</v>
      </c>
    </row>
    <row r="75" spans="1:16" customHeight="1" ht="12.75">
      <c r="A75" s="18" t="s">
        <v>149</v>
      </c>
      <c r="B75" s="4" t="s">
        <v>150</v>
      </c>
      <c r="C75" s="43">
        <v>270.8058</v>
      </c>
      <c r="D75" s="43">
        <v>10.61385</v>
      </c>
      <c r="E75" s="43">
        <v>7.5153</v>
      </c>
      <c r="F75" s="43">
        <v>7.4375</v>
      </c>
      <c r="G75" s="43">
        <v>8.92494</v>
      </c>
      <c r="H75" s="43">
        <v>6.3495</v>
      </c>
      <c r="I75" s="43">
        <v>16.54576</v>
      </c>
      <c r="J75" s="43">
        <v>15.1483</v>
      </c>
      <c r="K75" s="43">
        <v>0</v>
      </c>
      <c r="L75" s="43">
        <v>24.80965</v>
      </c>
      <c r="M75" s="43"/>
      <c r="N75" s="43"/>
      <c r="O75" s="43"/>
      <c r="P75" s="44">
        <f>SUM(C75:O75)</f>
        <v>368.1506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0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0</v>
      </c>
    </row>
    <row r="84" spans="1:16" customHeight="1" ht="12.75">
      <c r="A84" s="18" t="s">
        <v>166</v>
      </c>
      <c r="B84" s="4" t="s">
        <v>167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0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33906.93401</v>
      </c>
      <c r="D107" s="47">
        <f>SUM(D38:D106)</f>
        <v>2103.74244</v>
      </c>
      <c r="E107" s="47">
        <f>SUM(E38:E106)</f>
        <v>1781.48013</v>
      </c>
      <c r="F107" s="47">
        <f>SUM(F38:F106)</f>
        <v>1432.8368</v>
      </c>
      <c r="G107" s="47">
        <f>SUM(G38:G106)</f>
        <v>681.15575</v>
      </c>
      <c r="H107" s="47">
        <f>SUM(H38:H106)</f>
        <v>646.03358</v>
      </c>
      <c r="I107" s="47">
        <f>SUM(I38:I106)</f>
        <v>643.56824</v>
      </c>
      <c r="J107" s="47">
        <f>SUM(J38:J106)</f>
        <v>775.29425</v>
      </c>
      <c r="K107" s="47">
        <f>SUM(K38:K106)</f>
        <v>702.60692</v>
      </c>
      <c r="L107" s="47">
        <f>SUM(L38:L106)</f>
        <v>786.09835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43459.75047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-2580.93401</v>
      </c>
      <c r="D109" s="49">
        <f>D36-D107</f>
        <v>-2103.74244</v>
      </c>
      <c r="E109" s="49">
        <f>E36-E107</f>
        <v>-1781.48013</v>
      </c>
      <c r="F109" s="49">
        <f>F36-F107</f>
        <v>-1432.8368</v>
      </c>
      <c r="G109" s="49">
        <f>G36-G107</f>
        <v>-681.15575</v>
      </c>
      <c r="H109" s="49">
        <f>H36-H107</f>
        <v>-646.03358</v>
      </c>
      <c r="I109" s="49">
        <f>I36-I107</f>
        <v>-643.56824</v>
      </c>
      <c r="J109" s="49">
        <f>J36-J107</f>
        <v>-775.29425</v>
      </c>
      <c r="K109" s="49">
        <f>K36-K107</f>
        <v>-702.60692</v>
      </c>
      <c r="L109" s="49">
        <f>L36-L107</f>
        <v>-786.09835</v>
      </c>
      <c r="M109" s="49"/>
      <c r="N109" s="49"/>
      <c r="O109" s="49"/>
      <c r="P109" s="50">
        <f>P36-P107</f>
        <v>-12133.75047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-738.2107787</v>
      </c>
      <c r="D118" s="45">
        <v>-14.7715132</v>
      </c>
      <c r="E118" s="45">
        <v>-13.55823664</v>
      </c>
      <c r="F118" s="45">
        <v>-10.83020887</v>
      </c>
      <c r="G118" s="45">
        <v>-12.3222847</v>
      </c>
      <c r="H118" s="45">
        <v>-12.54951568</v>
      </c>
      <c r="I118" s="45">
        <v>-10.14046599</v>
      </c>
      <c r="J118" s="45">
        <v>-8.25728544</v>
      </c>
      <c r="K118" s="45">
        <v>-8.85436871</v>
      </c>
      <c r="L118" s="45">
        <v>-7.76975608</v>
      </c>
      <c r="M118" s="45"/>
      <c r="N118" s="45"/>
      <c r="O118" s="45"/>
      <c r="P118" s="46">
        <f>SUM(C118:O118)</f>
        <v>-837.26441401</v>
      </c>
    </row>
    <row r="119" spans="1:16" customHeight="1" ht="12.75">
      <c r="A119" s="20">
        <v>4.3</v>
      </c>
      <c r="B119" s="15" t="s">
        <v>210</v>
      </c>
      <c r="C119" s="47">
        <f>SUM(C111:C118)</f>
        <v>-738.2107787</v>
      </c>
      <c r="D119" s="47">
        <f>SUM(D111:D118)</f>
        <v>-14.7715132</v>
      </c>
      <c r="E119" s="47">
        <f>SUM(E111:E118)</f>
        <v>-13.55823664</v>
      </c>
      <c r="F119" s="47">
        <f>SUM(F111:F118)</f>
        <v>-10.83020887</v>
      </c>
      <c r="G119" s="47">
        <f>SUM(G111:G118)</f>
        <v>-12.3222847</v>
      </c>
      <c r="H119" s="47">
        <f>SUM(H111:H118)</f>
        <v>-12.54951568</v>
      </c>
      <c r="I119" s="47">
        <f>SUM(I111:I118)</f>
        <v>-10.14046599</v>
      </c>
      <c r="J119" s="47">
        <f>SUM(J111:J118)</f>
        <v>-8.25728544</v>
      </c>
      <c r="K119" s="47">
        <f>SUM(K111:K118)</f>
        <v>-8.85436871</v>
      </c>
      <c r="L119" s="47">
        <f>SUM(L111:L118)</f>
        <v>-7.76975608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-837.26441401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-1842.7232313</v>
      </c>
      <c r="D121" s="49">
        <f>D109-D119</f>
        <v>-2088.9709268</v>
      </c>
      <c r="E121" s="49">
        <f>E109-E119</f>
        <v>-1767.92189336</v>
      </c>
      <c r="F121" s="49">
        <f>F109-F119</f>
        <v>-1422.00659113</v>
      </c>
      <c r="G121" s="49">
        <f>G109-G119</f>
        <v>-668.8334653</v>
      </c>
      <c r="H121" s="49">
        <f>H109-H119</f>
        <v>-633.48406432</v>
      </c>
      <c r="I121" s="49">
        <f>I109-I119</f>
        <v>-633.42777401</v>
      </c>
      <c r="J121" s="49">
        <f>J109-J119</f>
        <v>-767.03696456</v>
      </c>
      <c r="K121" s="49">
        <f>K109-K119</f>
        <v>-693.75255129</v>
      </c>
      <c r="L121" s="49">
        <f>L109-L119</f>
        <v>-778.32859392</v>
      </c>
      <c r="M121" s="49"/>
      <c r="N121" s="49"/>
      <c r="O121" s="49"/>
      <c r="P121" s="50">
        <f>P109-P119</f>
        <v>-11296.48605599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939.78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939.78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-2782.5032313</v>
      </c>
      <c r="D129" s="51">
        <f>D121-SUM(D125:D126)+IF(ISBLANK(D127), 0, D127)</f>
        <v>-2088.9709268</v>
      </c>
      <c r="E129" s="51">
        <f>E121-SUM(E125:E126)+IF(ISBLANK(E127), 0, E127)</f>
        <v>-1767.92189336</v>
      </c>
      <c r="F129" s="51">
        <f>F121-SUM(F125:F126)+IF(ISBLANK(F127), 0, F127)</f>
        <v>-1422.00659113</v>
      </c>
      <c r="G129" s="51">
        <f>G121-SUM(G125:G126)+IF(ISBLANK(G127), 0, G127)</f>
        <v>-668.8334653</v>
      </c>
      <c r="H129" s="51">
        <f>H121-SUM(H125:H126)+IF(ISBLANK(H127), 0, H127)</f>
        <v>-633.48406432</v>
      </c>
      <c r="I129" s="51">
        <f>I121-SUM(I125:I126)+IF(ISBLANK(I127), 0, I127)</f>
        <v>-633.42777401</v>
      </c>
      <c r="J129" s="51">
        <f>J121-SUM(J125:J126)+IF(ISBLANK(J127), 0, J127)</f>
        <v>-767.03696456</v>
      </c>
      <c r="K129" s="51">
        <f>K121-SUM(K125:K126)+IF(ISBLANK(K127), 0, K127)</f>
        <v>-693.75255129</v>
      </c>
      <c r="L129" s="51">
        <f>L121-SUM(L125:L126)+IF(ISBLANK(L127), 0, L127)</f>
        <v>-778.32859392</v>
      </c>
      <c r="M129" s="51"/>
      <c r="N129" s="51"/>
      <c r="O129" s="51"/>
      <c r="P129" s="52">
        <f>P121-SUM(P125:P126)+IF(ISBLANK(P127), 0, P127)</f>
        <v>-12236.26605599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1062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28512.04153</v>
      </c>
      <c r="D14" s="43">
        <v>3410.93415</v>
      </c>
      <c r="E14" s="43">
        <v>0</v>
      </c>
      <c r="F14" s="43">
        <v>0</v>
      </c>
      <c r="G14" s="43">
        <v>558.104</v>
      </c>
      <c r="H14" s="43">
        <v>0</v>
      </c>
      <c r="I14" s="43">
        <v>2403.71395</v>
      </c>
      <c r="J14" s="43">
        <v>0</v>
      </c>
      <c r="K14" s="43">
        <v>0</v>
      </c>
      <c r="L14" s="43">
        <v>3051</v>
      </c>
      <c r="M14" s="43"/>
      <c r="N14" s="43"/>
      <c r="O14" s="43"/>
      <c r="P14" s="44">
        <f>SUM(C14:O14)</f>
        <v>37935.79363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1177.07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1177.07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8290.0655</v>
      </c>
      <c r="D35" s="45">
        <v>0</v>
      </c>
      <c r="E35" s="45">
        <v>0</v>
      </c>
      <c r="F35" s="45">
        <v>0</v>
      </c>
      <c r="G35" s="45">
        <v>-1500</v>
      </c>
      <c r="H35" s="45">
        <v>-1500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5290.0655</v>
      </c>
    </row>
    <row r="36" spans="1:16" customHeight="1" ht="12.75">
      <c r="A36" s="20"/>
      <c r="B36" s="15" t="s">
        <v>78</v>
      </c>
      <c r="C36" s="47">
        <f>SUM(C13:C35)</f>
        <v>37979.17703</v>
      </c>
      <c r="D36" s="47">
        <f>SUM(D13:D35)</f>
        <v>3410.93415</v>
      </c>
      <c r="E36" s="47">
        <f>SUM(E13:E35)</f>
        <v>0</v>
      </c>
      <c r="F36" s="47">
        <f>SUM(F13:F35)</f>
        <v>0</v>
      </c>
      <c r="G36" s="47">
        <f>SUM(G13:G35)</f>
        <v>-941.896</v>
      </c>
      <c r="H36" s="47">
        <f>SUM(H13:H35)</f>
        <v>-1500</v>
      </c>
      <c r="I36" s="47">
        <f>SUM(I13:I35)</f>
        <v>2403.71395</v>
      </c>
      <c r="J36" s="47">
        <f>SUM(J13:J35)</f>
        <v>0</v>
      </c>
      <c r="K36" s="47">
        <f>SUM(K13:K35)</f>
        <v>0</v>
      </c>
      <c r="L36" s="47">
        <f>SUM(L13:L35)</f>
        <v>3051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44402.92913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10049.15</v>
      </c>
      <c r="D40" s="43">
        <v>713.11</v>
      </c>
      <c r="E40" s="43">
        <v>566.4</v>
      </c>
      <c r="F40" s="43">
        <v>386.6</v>
      </c>
      <c r="G40" s="43">
        <v>214.5</v>
      </c>
      <c r="H40" s="43">
        <v>366.88</v>
      </c>
      <c r="I40" s="43">
        <v>292.3223</v>
      </c>
      <c r="J40" s="43">
        <v>319.523</v>
      </c>
      <c r="K40" s="43">
        <v>317.1</v>
      </c>
      <c r="L40" s="43">
        <v>317.02</v>
      </c>
      <c r="M40" s="43"/>
      <c r="N40" s="43"/>
      <c r="O40" s="43"/>
      <c r="P40" s="44">
        <f>SUM(C40:O40)</f>
        <v>13542.6053</v>
      </c>
    </row>
    <row r="41" spans="1:16" customHeight="1" ht="12.75">
      <c r="A41" s="18" t="s">
        <v>83</v>
      </c>
      <c r="B41" s="4" t="s">
        <v>84</v>
      </c>
      <c r="C41" s="43">
        <v>8.05</v>
      </c>
      <c r="D41" s="43">
        <v>2.61</v>
      </c>
      <c r="E41" s="43">
        <v>4.14</v>
      </c>
      <c r="F41" s="43">
        <v>2</v>
      </c>
      <c r="G41" s="43">
        <v>0</v>
      </c>
      <c r="H41" s="43">
        <v>0</v>
      </c>
      <c r="I41" s="43">
        <v>3.6612</v>
      </c>
      <c r="J41" s="43">
        <v>0</v>
      </c>
      <c r="K41" s="43">
        <v>0</v>
      </c>
      <c r="L41" s="43">
        <v>2.14</v>
      </c>
      <c r="M41" s="43"/>
      <c r="N41" s="43"/>
      <c r="O41" s="43"/>
      <c r="P41" s="44">
        <f>SUM(C41:O41)</f>
        <v>22.6012</v>
      </c>
    </row>
    <row r="42" spans="1:16" customHeight="1" ht="12.75">
      <c r="A42" s="18" t="s">
        <v>85</v>
      </c>
      <c r="B42" s="4" t="s">
        <v>86</v>
      </c>
      <c r="C42" s="43">
        <v>2480.99</v>
      </c>
      <c r="D42" s="43">
        <v>145.02</v>
      </c>
      <c r="E42" s="43">
        <v>151</v>
      </c>
      <c r="F42" s="43">
        <v>141.23</v>
      </c>
      <c r="G42" s="43">
        <v>146.32</v>
      </c>
      <c r="H42" s="43">
        <v>108.03</v>
      </c>
      <c r="I42" s="43">
        <v>105.8028</v>
      </c>
      <c r="J42" s="43">
        <v>105.725</v>
      </c>
      <c r="K42" s="43">
        <v>105.92</v>
      </c>
      <c r="L42" s="43">
        <v>105.73</v>
      </c>
      <c r="M42" s="43"/>
      <c r="N42" s="43"/>
      <c r="O42" s="43"/>
      <c r="P42" s="44">
        <f>SUM(C42:O42)</f>
        <v>3595.7678</v>
      </c>
    </row>
    <row r="43" spans="1:16" customHeight="1" ht="12.75">
      <c r="A43" s="18" t="s">
        <v>87</v>
      </c>
      <c r="B43" s="4" t="s">
        <v>88</v>
      </c>
      <c r="C43" s="43">
        <v>1235.22</v>
      </c>
      <c r="D43" s="43">
        <v>43</v>
      </c>
      <c r="E43" s="43">
        <v>35</v>
      </c>
      <c r="F43" s="43">
        <v>32.75</v>
      </c>
      <c r="G43" s="43">
        <v>35.38</v>
      </c>
      <c r="H43" s="43">
        <v>34</v>
      </c>
      <c r="I43" s="43">
        <v>36.95</v>
      </c>
      <c r="J43" s="43">
        <v>35.3833</v>
      </c>
      <c r="K43" s="43">
        <v>32.75</v>
      </c>
      <c r="L43" s="43">
        <v>35.09</v>
      </c>
      <c r="M43" s="43"/>
      <c r="N43" s="43"/>
      <c r="O43" s="43"/>
      <c r="P43" s="44">
        <f>SUM(C43:O43)</f>
        <v>1555.5233</v>
      </c>
    </row>
    <row r="44" spans="1:16" customHeight="1" ht="12.75">
      <c r="A44" s="18" t="s">
        <v>89</v>
      </c>
      <c r="B44" s="4" t="s">
        <v>90</v>
      </c>
      <c r="C44" s="43">
        <v>56.511</v>
      </c>
      <c r="D44" s="43">
        <v>18.726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27.835</v>
      </c>
      <c r="L44" s="43">
        <v>0</v>
      </c>
      <c r="M44" s="43"/>
      <c r="N44" s="43"/>
      <c r="O44" s="43"/>
      <c r="P44" s="44">
        <f>SUM(C44:O44)</f>
        <v>103.072</v>
      </c>
    </row>
    <row r="45" spans="1:16" customHeight="1" ht="12.75">
      <c r="A45" s="18" t="s">
        <v>91</v>
      </c>
      <c r="B45" s="4" t="s">
        <v>92</v>
      </c>
      <c r="C45" s="43">
        <v>5979.70741</v>
      </c>
      <c r="D45" s="43">
        <v>762.43388</v>
      </c>
      <c r="E45" s="43">
        <v>235.44132</v>
      </c>
      <c r="F45" s="43">
        <v>159.8782</v>
      </c>
      <c r="G45" s="43">
        <v>37.5931</v>
      </c>
      <c r="H45" s="43">
        <v>8.80058</v>
      </c>
      <c r="I45" s="43">
        <v>40.23518</v>
      </c>
      <c r="J45" s="43">
        <v>195.68115</v>
      </c>
      <c r="K45" s="43">
        <v>77.32292</v>
      </c>
      <c r="L45" s="43">
        <v>12.0225</v>
      </c>
      <c r="M45" s="43"/>
      <c r="N45" s="43"/>
      <c r="O45" s="43"/>
      <c r="P45" s="44">
        <f>SUM(C45:O45)</f>
        <v>7509.11624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72.3739</v>
      </c>
      <c r="D47" s="43">
        <v>0.653</v>
      </c>
      <c r="E47" s="43">
        <v>1.367</v>
      </c>
      <c r="F47" s="43">
        <v>0.333</v>
      </c>
      <c r="G47" s="43">
        <v>2.24011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76.96701</v>
      </c>
    </row>
    <row r="48" spans="1:16" customHeight="1" ht="12.75">
      <c r="A48" s="18" t="s">
        <v>97</v>
      </c>
      <c r="B48" s="4" t="s">
        <v>98</v>
      </c>
      <c r="C48" s="43">
        <v>34.404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34.404</v>
      </c>
    </row>
    <row r="49" spans="1:16" customHeight="1" ht="12.75">
      <c r="A49" s="18" t="s">
        <v>99</v>
      </c>
      <c r="B49" s="4" t="s">
        <v>100</v>
      </c>
      <c r="C49" s="43">
        <v>16.145</v>
      </c>
      <c r="D49" s="43">
        <v>27.82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26.45</v>
      </c>
      <c r="L49" s="43">
        <v>0</v>
      </c>
      <c r="M49" s="43"/>
      <c r="N49" s="43"/>
      <c r="O49" s="43"/>
      <c r="P49" s="44">
        <f>SUM(C49:O49)</f>
        <v>70.415</v>
      </c>
    </row>
    <row r="50" spans="1:16" customHeight="1" ht="12.75">
      <c r="A50" s="18" t="s">
        <v>101</v>
      </c>
      <c r="B50" s="4" t="s">
        <v>102</v>
      </c>
      <c r="C50" s="43">
        <v>2662.99389</v>
      </c>
      <c r="D50" s="43">
        <v>586.446</v>
      </c>
      <c r="E50" s="43">
        <v>124.1005</v>
      </c>
      <c r="F50" s="43">
        <v>12.4435</v>
      </c>
      <c r="G50" s="43">
        <v>-13.506</v>
      </c>
      <c r="H50" s="43">
        <v>3.9</v>
      </c>
      <c r="I50" s="43">
        <v>0</v>
      </c>
      <c r="J50" s="43">
        <v>10.157</v>
      </c>
      <c r="K50" s="43">
        <v>1.026</v>
      </c>
      <c r="L50" s="43">
        <v>0</v>
      </c>
      <c r="M50" s="43"/>
      <c r="N50" s="43"/>
      <c r="O50" s="43"/>
      <c r="P50" s="44">
        <f>SUM(C50:O50)</f>
        <v>3387.56089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1910.6297</v>
      </c>
      <c r="D54" s="43">
        <v>1001.752</v>
      </c>
      <c r="E54" s="43">
        <v>76.1828</v>
      </c>
      <c r="F54" s="43">
        <v>245.1836</v>
      </c>
      <c r="G54" s="43">
        <v>13.0825</v>
      </c>
      <c r="H54" s="43">
        <v>0</v>
      </c>
      <c r="I54" s="43">
        <v>0</v>
      </c>
      <c r="J54" s="43">
        <v>147.7322</v>
      </c>
      <c r="K54" s="43">
        <v>11.6445</v>
      </c>
      <c r="L54" s="43">
        <v>0</v>
      </c>
      <c r="M54" s="43"/>
      <c r="N54" s="43"/>
      <c r="O54" s="43"/>
      <c r="P54" s="44">
        <f>SUM(C54:O54)</f>
        <v>3406.2073</v>
      </c>
    </row>
    <row r="55" spans="1:16" customHeight="1" ht="12.75">
      <c r="A55" s="18" t="s">
        <v>110</v>
      </c>
      <c r="B55" s="4" t="s">
        <v>111</v>
      </c>
      <c r="C55" s="43">
        <v>883.79081</v>
      </c>
      <c r="D55" s="43">
        <v>646.8702</v>
      </c>
      <c r="E55" s="43">
        <v>121.40556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1652.06657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2484.697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2484.697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549.4055</v>
      </c>
      <c r="D66" s="43">
        <v>3</v>
      </c>
      <c r="E66" s="43">
        <v>0</v>
      </c>
      <c r="F66" s="43">
        <v>75.9</v>
      </c>
      <c r="G66" s="43">
        <v>0</v>
      </c>
      <c r="H66" s="43">
        <v>0</v>
      </c>
      <c r="I66" s="43">
        <v>0</v>
      </c>
      <c r="J66" s="43">
        <v>2.7209</v>
      </c>
      <c r="K66" s="43">
        <v>0</v>
      </c>
      <c r="L66" s="43">
        <v>0</v>
      </c>
      <c r="M66" s="43"/>
      <c r="N66" s="43"/>
      <c r="O66" s="43"/>
      <c r="P66" s="44">
        <f>SUM(C66:O66)</f>
        <v>631.0264</v>
      </c>
    </row>
    <row r="67" spans="1:16" customHeight="1" ht="12.75">
      <c r="A67" s="18" t="s">
        <v>134</v>
      </c>
      <c r="B67" s="4" t="s">
        <v>135</v>
      </c>
      <c r="C67" s="43">
        <v>750.953</v>
      </c>
      <c r="D67" s="43">
        <v>22.89</v>
      </c>
      <c r="E67" s="43">
        <v>-197.584</v>
      </c>
      <c r="F67" s="43">
        <v>58.8</v>
      </c>
      <c r="G67" s="43">
        <v>-138.4</v>
      </c>
      <c r="H67" s="43">
        <v>0</v>
      </c>
      <c r="I67" s="43">
        <v>0</v>
      </c>
      <c r="J67" s="43">
        <v>0</v>
      </c>
      <c r="K67" s="43">
        <v>0</v>
      </c>
      <c r="L67" s="43">
        <v>56.1</v>
      </c>
      <c r="M67" s="43"/>
      <c r="N67" s="43"/>
      <c r="O67" s="43"/>
      <c r="P67" s="44">
        <f>SUM(C67:O67)</f>
        <v>552.759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433.114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433.114</v>
      </c>
    </row>
    <row r="74" spans="1:16" customHeight="1" ht="12.75">
      <c r="A74" s="18" t="s">
        <v>147</v>
      </c>
      <c r="B74" s="4" t="s">
        <v>148</v>
      </c>
      <c r="C74" s="43">
        <v>585.96976</v>
      </c>
      <c r="D74" s="43">
        <v>95.326</v>
      </c>
      <c r="E74" s="43">
        <v>99.839</v>
      </c>
      <c r="F74" s="43">
        <v>6.5</v>
      </c>
      <c r="G74" s="43">
        <v>6.5</v>
      </c>
      <c r="H74" s="43">
        <v>0</v>
      </c>
      <c r="I74" s="43">
        <v>0</v>
      </c>
      <c r="J74" s="43">
        <v>126.43</v>
      </c>
      <c r="K74" s="43">
        <v>6.5</v>
      </c>
      <c r="L74" s="43">
        <v>0</v>
      </c>
      <c r="M74" s="43"/>
      <c r="N74" s="43"/>
      <c r="O74" s="43"/>
      <c r="P74" s="44">
        <f>SUM(C74:O74)</f>
        <v>927.06476</v>
      </c>
    </row>
    <row r="75" spans="1:16" customHeight="1" ht="12.75">
      <c r="A75" s="18" t="s">
        <v>149</v>
      </c>
      <c r="B75" s="4" t="s">
        <v>150</v>
      </c>
      <c r="C75" s="43">
        <v>265.9775</v>
      </c>
      <c r="D75" s="43">
        <v>18.3474</v>
      </c>
      <c r="E75" s="43">
        <v>7.45065</v>
      </c>
      <c r="F75" s="43">
        <v>11.71662</v>
      </c>
      <c r="G75" s="43">
        <v>11.97394</v>
      </c>
      <c r="H75" s="43">
        <v>11.94464</v>
      </c>
      <c r="I75" s="43">
        <v>0</v>
      </c>
      <c r="J75" s="43">
        <v>23.7733</v>
      </c>
      <c r="K75" s="43">
        <v>16.18465</v>
      </c>
      <c r="L75" s="43">
        <v>0</v>
      </c>
      <c r="M75" s="43"/>
      <c r="N75" s="43"/>
      <c r="O75" s="43"/>
      <c r="P75" s="44">
        <f>SUM(C75:O75)</f>
        <v>367.3687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0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0</v>
      </c>
    </row>
    <row r="84" spans="1:16" customHeight="1" ht="12.75">
      <c r="A84" s="18" t="s">
        <v>166</v>
      </c>
      <c r="B84" s="4" t="s">
        <v>167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0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-558.104</v>
      </c>
      <c r="I86" s="43">
        <v>0</v>
      </c>
      <c r="J86" s="43">
        <v>558.104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30460.08247</v>
      </c>
      <c r="D107" s="47">
        <f>SUM(D38:D106)</f>
        <v>4088.00448</v>
      </c>
      <c r="E107" s="47">
        <f>SUM(E38:E106)</f>
        <v>1224.74283</v>
      </c>
      <c r="F107" s="47">
        <f>SUM(F38:F106)</f>
        <v>1133.33492</v>
      </c>
      <c r="G107" s="47">
        <f>SUM(G38:G106)</f>
        <v>315.68365</v>
      </c>
      <c r="H107" s="47">
        <f>SUM(H38:H106)</f>
        <v>-24.54878</v>
      </c>
      <c r="I107" s="47">
        <f>SUM(I38:I106)</f>
        <v>478.97148</v>
      </c>
      <c r="J107" s="47">
        <f>SUM(J38:J106)</f>
        <v>1525.22985</v>
      </c>
      <c r="K107" s="47">
        <f>SUM(K38:K106)</f>
        <v>622.73307</v>
      </c>
      <c r="L107" s="47">
        <f>SUM(L38:L106)</f>
        <v>528.1025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40352.33647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7519.09456</v>
      </c>
      <c r="D109" s="49">
        <f>D36-D107</f>
        <v>-677.07033</v>
      </c>
      <c r="E109" s="49">
        <f>E36-E107</f>
        <v>-1224.74283</v>
      </c>
      <c r="F109" s="49">
        <f>F36-F107</f>
        <v>-1133.33492</v>
      </c>
      <c r="G109" s="49">
        <f>G36-G107</f>
        <v>-1257.57965</v>
      </c>
      <c r="H109" s="49">
        <f>H36-H107</f>
        <v>-1475.45122</v>
      </c>
      <c r="I109" s="49">
        <f>I36-I107</f>
        <v>1924.74247</v>
      </c>
      <c r="J109" s="49">
        <f>J36-J107</f>
        <v>-1525.22985</v>
      </c>
      <c r="K109" s="49">
        <f>K36-K107</f>
        <v>-622.73307</v>
      </c>
      <c r="L109" s="49">
        <f>L36-L107</f>
        <v>2522.8975</v>
      </c>
      <c r="M109" s="49"/>
      <c r="N109" s="49"/>
      <c r="O109" s="49"/>
      <c r="P109" s="50">
        <f>P36-P107</f>
        <v>4050.59266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-738.21077869</v>
      </c>
      <c r="D118" s="45">
        <v>-14.7715132</v>
      </c>
      <c r="E118" s="45">
        <v>-13.55823664</v>
      </c>
      <c r="F118" s="45">
        <v>-10.83020887</v>
      </c>
      <c r="G118" s="45">
        <v>-12.3222847</v>
      </c>
      <c r="H118" s="45">
        <v>-12.54951568</v>
      </c>
      <c r="I118" s="45">
        <v>-10.14046599</v>
      </c>
      <c r="J118" s="45">
        <v>-8.25728544</v>
      </c>
      <c r="K118" s="45">
        <v>-8.85436871</v>
      </c>
      <c r="L118" s="45">
        <v>-7.76975608</v>
      </c>
      <c r="M118" s="45"/>
      <c r="N118" s="45"/>
      <c r="O118" s="45"/>
      <c r="P118" s="46">
        <f>SUM(C118:O118)</f>
        <v>-837.264414</v>
      </c>
    </row>
    <row r="119" spans="1:16" customHeight="1" ht="12.75">
      <c r="A119" s="20">
        <v>4.3</v>
      </c>
      <c r="B119" s="15" t="s">
        <v>210</v>
      </c>
      <c r="C119" s="47">
        <f>SUM(C111:C118)</f>
        <v>-738.21077869</v>
      </c>
      <c r="D119" s="47">
        <f>SUM(D111:D118)</f>
        <v>-14.7715132</v>
      </c>
      <c r="E119" s="47">
        <f>SUM(E111:E118)</f>
        <v>-13.55823664</v>
      </c>
      <c r="F119" s="47">
        <f>SUM(F111:F118)</f>
        <v>-10.83020887</v>
      </c>
      <c r="G119" s="47">
        <f>SUM(G111:G118)</f>
        <v>-12.3222847</v>
      </c>
      <c r="H119" s="47">
        <f>SUM(H111:H118)</f>
        <v>-12.54951568</v>
      </c>
      <c r="I119" s="47">
        <f>SUM(I111:I118)</f>
        <v>-10.14046599</v>
      </c>
      <c r="J119" s="47">
        <f>SUM(J111:J118)</f>
        <v>-8.25728544</v>
      </c>
      <c r="K119" s="47">
        <f>SUM(K111:K118)</f>
        <v>-8.85436871</v>
      </c>
      <c r="L119" s="47">
        <f>SUM(L111:L118)</f>
        <v>-7.76975608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-837.264414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8257.30533869</v>
      </c>
      <c r="D121" s="49">
        <f>D109-D119</f>
        <v>-662.2988168</v>
      </c>
      <c r="E121" s="49">
        <f>E109-E119</f>
        <v>-1211.18459336</v>
      </c>
      <c r="F121" s="49">
        <f>F109-F119</f>
        <v>-1122.50471113</v>
      </c>
      <c r="G121" s="49">
        <f>G109-G119</f>
        <v>-1245.2573653</v>
      </c>
      <c r="H121" s="49">
        <f>H109-H119</f>
        <v>-1462.90170432</v>
      </c>
      <c r="I121" s="49">
        <f>I109-I119</f>
        <v>1934.88293599</v>
      </c>
      <c r="J121" s="49">
        <f>J109-J119</f>
        <v>-1516.97256456</v>
      </c>
      <c r="K121" s="49">
        <f>K109-K119</f>
        <v>-613.87870129</v>
      </c>
      <c r="L121" s="49">
        <f>L109-L119</f>
        <v>2530.66725608</v>
      </c>
      <c r="M121" s="49"/>
      <c r="N121" s="49"/>
      <c r="O121" s="49"/>
      <c r="P121" s="50">
        <f>P109-P119</f>
        <v>4887.857074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1139.3753109</v>
      </c>
      <c r="D125" s="43">
        <f>(D36-D18-D20-D33)*D124</f>
        <v>102.3280245</v>
      </c>
      <c r="E125" s="43">
        <f>(E36-E18-E20-E33)*E124</f>
        <v>0</v>
      </c>
      <c r="F125" s="43">
        <f>(F36-F18-F20-F33)*F124</f>
        <v>0</v>
      </c>
      <c r="G125" s="43">
        <f>(G36-G18-G20-G33)*G124</f>
        <v>-56.51376</v>
      </c>
      <c r="H125" s="43">
        <f>(H36-H18-H20-H33)*H124</f>
        <v>-90</v>
      </c>
      <c r="I125" s="43">
        <f>(I36-I18-I20-I33)*I124</f>
        <v>144.222837</v>
      </c>
      <c r="J125" s="43">
        <f>(J36-J18-J20-J33)*J124</f>
        <v>0</v>
      </c>
      <c r="K125" s="43">
        <f>(K36-K18-K20-K33)*K124</f>
        <v>0</v>
      </c>
      <c r="L125" s="43">
        <f>(L36-L18-L20-L33)*L124</f>
        <v>183.06</v>
      </c>
      <c r="M125" s="43"/>
      <c r="N125" s="43"/>
      <c r="O125" s="43"/>
      <c r="P125" s="44">
        <f>SUM(C125:O125)</f>
        <v>1422.4724124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-0</v>
      </c>
      <c r="H126" s="43">
        <f>(H36-H18-H20-H33)*0.000000</f>
        <v>-0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7117.93002779</v>
      </c>
      <c r="D129" s="51">
        <f>D121-SUM(D125:D126)+IF(ISBLANK(D127), 0, D127)</f>
        <v>-764.6268413</v>
      </c>
      <c r="E129" s="51">
        <f>E121-SUM(E125:E126)+IF(ISBLANK(E127), 0, E127)</f>
        <v>-1211.18459336</v>
      </c>
      <c r="F129" s="51">
        <f>F121-SUM(F125:F126)+IF(ISBLANK(F127), 0, F127)</f>
        <v>-1122.50471113</v>
      </c>
      <c r="G129" s="51">
        <f>G121-SUM(G125:G126)+IF(ISBLANK(G127), 0, G127)</f>
        <v>-1188.7436053</v>
      </c>
      <c r="H129" s="51">
        <f>H121-SUM(H125:H126)+IF(ISBLANK(H127), 0, H127)</f>
        <v>-1372.90170432</v>
      </c>
      <c r="I129" s="51">
        <f>I121-SUM(I125:I126)+IF(ISBLANK(I127), 0, I127)</f>
        <v>1790.66009899</v>
      </c>
      <c r="J129" s="51">
        <f>J121-SUM(J125:J126)+IF(ISBLANK(J127), 0, J127)</f>
        <v>-1516.97256456</v>
      </c>
      <c r="K129" s="51">
        <f>K121-SUM(K125:K126)+IF(ISBLANK(K127), 0, K127)</f>
        <v>-613.87870129</v>
      </c>
      <c r="L129" s="51">
        <f>L121-SUM(L125:L126)+IF(ISBLANK(L127), 0, L127)</f>
        <v>2347.60725608</v>
      </c>
      <c r="M129" s="51"/>
      <c r="N129" s="51"/>
      <c r="O129" s="51"/>
      <c r="P129" s="52">
        <f>P121-SUM(P125:P126)+IF(ISBLANK(P127), 0, P127)</f>
        <v>3465.3846616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1062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22410.77885</v>
      </c>
      <c r="D14" s="43">
        <v>2000</v>
      </c>
      <c r="E14" s="43">
        <v>1567.40796</v>
      </c>
      <c r="F14" s="43">
        <v>1000</v>
      </c>
      <c r="G14" s="43">
        <v>2000</v>
      </c>
      <c r="H14" s="43">
        <v>0</v>
      </c>
      <c r="I14" s="43">
        <v>0</v>
      </c>
      <c r="J14" s="43">
        <v>604</v>
      </c>
      <c r="K14" s="43">
        <v>1000</v>
      </c>
      <c r="L14" s="43">
        <v>400</v>
      </c>
      <c r="M14" s="43"/>
      <c r="N14" s="43"/>
      <c r="O14" s="43"/>
      <c r="P14" s="44">
        <f>SUM(C14:O14)</f>
        <v>30982.18681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7090.0695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7090.0695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3359.76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3359.76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32860.60835</v>
      </c>
      <c r="D36" s="47">
        <f>SUM(D13:D35)</f>
        <v>2000</v>
      </c>
      <c r="E36" s="47">
        <f>SUM(E13:E35)</f>
        <v>1567.40796</v>
      </c>
      <c r="F36" s="47">
        <f>SUM(F13:F35)</f>
        <v>1000</v>
      </c>
      <c r="G36" s="47">
        <f>SUM(G13:G35)</f>
        <v>2000</v>
      </c>
      <c r="H36" s="47">
        <f>SUM(H13:H35)</f>
        <v>0</v>
      </c>
      <c r="I36" s="47">
        <f>SUM(I13:I35)</f>
        <v>0</v>
      </c>
      <c r="J36" s="47">
        <f>SUM(J13:J35)</f>
        <v>604</v>
      </c>
      <c r="K36" s="47">
        <f>SUM(K13:K35)</f>
        <v>1000</v>
      </c>
      <c r="L36" s="47">
        <f>SUM(L13:L35)</f>
        <v>400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41432.01631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10049.15</v>
      </c>
      <c r="D40" s="43">
        <v>713.11</v>
      </c>
      <c r="E40" s="43">
        <v>566.4</v>
      </c>
      <c r="F40" s="43">
        <v>386.6</v>
      </c>
      <c r="G40" s="43">
        <v>214.5</v>
      </c>
      <c r="H40" s="43">
        <v>366.88</v>
      </c>
      <c r="I40" s="43">
        <v>292.3223</v>
      </c>
      <c r="J40" s="43">
        <v>319.523</v>
      </c>
      <c r="K40" s="43">
        <v>317.1</v>
      </c>
      <c r="L40" s="43">
        <v>317.02</v>
      </c>
      <c r="M40" s="43"/>
      <c r="N40" s="43"/>
      <c r="O40" s="43"/>
      <c r="P40" s="44">
        <f>SUM(C40:O40)</f>
        <v>13542.6053</v>
      </c>
    </row>
    <row r="41" spans="1:16" customHeight="1" ht="12.75">
      <c r="A41" s="18" t="s">
        <v>83</v>
      </c>
      <c r="B41" s="4" t="s">
        <v>84</v>
      </c>
      <c r="C41" s="43">
        <v>8.05</v>
      </c>
      <c r="D41" s="43">
        <v>2.61</v>
      </c>
      <c r="E41" s="43">
        <v>4.14</v>
      </c>
      <c r="F41" s="43">
        <v>2</v>
      </c>
      <c r="G41" s="43">
        <v>0</v>
      </c>
      <c r="H41" s="43">
        <v>-0.00204</v>
      </c>
      <c r="I41" s="43">
        <v>3.6612</v>
      </c>
      <c r="J41" s="43">
        <v>0</v>
      </c>
      <c r="K41" s="43">
        <v>0</v>
      </c>
      <c r="L41" s="43">
        <v>2.14</v>
      </c>
      <c r="M41" s="43"/>
      <c r="N41" s="43"/>
      <c r="O41" s="43"/>
      <c r="P41" s="44">
        <f>SUM(C41:O41)</f>
        <v>22.59916</v>
      </c>
    </row>
    <row r="42" spans="1:16" customHeight="1" ht="12.75">
      <c r="A42" s="18" t="s">
        <v>85</v>
      </c>
      <c r="B42" s="4" t="s">
        <v>86</v>
      </c>
      <c r="C42" s="43">
        <v>2480.99</v>
      </c>
      <c r="D42" s="43">
        <v>145.02</v>
      </c>
      <c r="E42" s="43">
        <v>151</v>
      </c>
      <c r="F42" s="43">
        <v>141.23</v>
      </c>
      <c r="G42" s="43">
        <v>146.32</v>
      </c>
      <c r="H42" s="43">
        <v>108.03</v>
      </c>
      <c r="I42" s="43">
        <v>105.8028</v>
      </c>
      <c r="J42" s="43">
        <v>105.725</v>
      </c>
      <c r="K42" s="43">
        <v>105.92</v>
      </c>
      <c r="L42" s="43">
        <v>105.73</v>
      </c>
      <c r="M42" s="43"/>
      <c r="N42" s="43"/>
      <c r="O42" s="43"/>
      <c r="P42" s="44">
        <f>SUM(C42:O42)</f>
        <v>3595.7678</v>
      </c>
    </row>
    <row r="43" spans="1:16" customHeight="1" ht="12.75">
      <c r="A43" s="18" t="s">
        <v>87</v>
      </c>
      <c r="B43" s="4" t="s">
        <v>88</v>
      </c>
      <c r="C43" s="43">
        <v>1235.22</v>
      </c>
      <c r="D43" s="43">
        <v>43</v>
      </c>
      <c r="E43" s="43">
        <v>35</v>
      </c>
      <c r="F43" s="43">
        <v>32.75</v>
      </c>
      <c r="G43" s="43">
        <v>35.38</v>
      </c>
      <c r="H43" s="43">
        <v>34</v>
      </c>
      <c r="I43" s="43">
        <v>36.95</v>
      </c>
      <c r="J43" s="43">
        <v>35.3833</v>
      </c>
      <c r="K43" s="43">
        <v>32.75</v>
      </c>
      <c r="L43" s="43">
        <v>35.09</v>
      </c>
      <c r="M43" s="43"/>
      <c r="N43" s="43"/>
      <c r="O43" s="43"/>
      <c r="P43" s="44">
        <f>SUM(C43:O43)</f>
        <v>1555.5233</v>
      </c>
    </row>
    <row r="44" spans="1:16" customHeight="1" ht="12.75">
      <c r="A44" s="18" t="s">
        <v>89</v>
      </c>
      <c r="B44" s="4" t="s">
        <v>90</v>
      </c>
      <c r="C44" s="43">
        <v>28.703</v>
      </c>
      <c r="D44" s="43">
        <v>27.808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18.726</v>
      </c>
      <c r="K44" s="43">
        <v>0</v>
      </c>
      <c r="L44" s="43">
        <v>0</v>
      </c>
      <c r="M44" s="43"/>
      <c r="N44" s="43"/>
      <c r="O44" s="43"/>
      <c r="P44" s="44">
        <f>SUM(C44:O44)</f>
        <v>75.237</v>
      </c>
    </row>
    <row r="45" spans="1:16" customHeight="1" ht="12.75">
      <c r="A45" s="18" t="s">
        <v>91</v>
      </c>
      <c r="B45" s="4" t="s">
        <v>92</v>
      </c>
      <c r="C45" s="43">
        <v>5329.62631</v>
      </c>
      <c r="D45" s="43">
        <v>368.37134</v>
      </c>
      <c r="E45" s="43">
        <v>447.99886</v>
      </c>
      <c r="F45" s="43">
        <v>205.91011</v>
      </c>
      <c r="G45" s="43">
        <v>541.86</v>
      </c>
      <c r="H45" s="43">
        <v>3.08289</v>
      </c>
      <c r="I45" s="43">
        <v>21.4209</v>
      </c>
      <c r="J45" s="43">
        <v>134.76082</v>
      </c>
      <c r="K45" s="43">
        <v>122.96282</v>
      </c>
      <c r="L45" s="43">
        <v>64.87783</v>
      </c>
      <c r="M45" s="43"/>
      <c r="N45" s="43"/>
      <c r="O45" s="43"/>
      <c r="P45" s="44">
        <f>SUM(C45:O45)</f>
        <v>7240.87188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61.3089</v>
      </c>
      <c r="D47" s="43">
        <v>7.855</v>
      </c>
      <c r="E47" s="43">
        <v>2.907</v>
      </c>
      <c r="F47" s="43">
        <v>2.02</v>
      </c>
      <c r="G47" s="43">
        <v>0.333</v>
      </c>
      <c r="H47" s="43">
        <v>0</v>
      </c>
      <c r="I47" s="43">
        <v>0</v>
      </c>
      <c r="J47" s="43">
        <v>0</v>
      </c>
      <c r="K47" s="43">
        <v>2.24011</v>
      </c>
      <c r="L47" s="43">
        <v>0</v>
      </c>
      <c r="M47" s="43"/>
      <c r="N47" s="43"/>
      <c r="O47" s="43"/>
      <c r="P47" s="44">
        <f>SUM(C47:O47)</f>
        <v>76.66401</v>
      </c>
    </row>
    <row r="48" spans="1:16" customHeight="1" ht="12.75">
      <c r="A48" s="18" t="s">
        <v>97</v>
      </c>
      <c r="B48" s="4" t="s">
        <v>98</v>
      </c>
      <c r="C48" s="43">
        <v>34.404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34.404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16.145</v>
      </c>
      <c r="E49" s="43">
        <v>0</v>
      </c>
      <c r="F49" s="43">
        <v>0</v>
      </c>
      <c r="G49" s="43">
        <v>27.82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43.965</v>
      </c>
    </row>
    <row r="50" spans="1:16" customHeight="1" ht="12.75">
      <c r="A50" s="18" t="s">
        <v>101</v>
      </c>
      <c r="B50" s="4" t="s">
        <v>102</v>
      </c>
      <c r="C50" s="43">
        <v>2443.64989</v>
      </c>
      <c r="D50" s="43">
        <v>108.081</v>
      </c>
      <c r="E50" s="43">
        <v>178.401</v>
      </c>
      <c r="F50" s="43">
        <v>80.0835</v>
      </c>
      <c r="G50" s="43">
        <v>306.36</v>
      </c>
      <c r="H50" s="43">
        <v>3.9</v>
      </c>
      <c r="I50" s="43">
        <v>0</v>
      </c>
      <c r="J50" s="43">
        <v>5.396</v>
      </c>
      <c r="K50" s="43">
        <v>3.134</v>
      </c>
      <c r="L50" s="43">
        <v>0</v>
      </c>
      <c r="M50" s="43"/>
      <c r="N50" s="43"/>
      <c r="O50" s="43"/>
      <c r="P50" s="44">
        <f>SUM(C50:O50)</f>
        <v>3129.00539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1827.218</v>
      </c>
      <c r="D54" s="43">
        <v>83.4117</v>
      </c>
      <c r="E54" s="43">
        <v>176.8761</v>
      </c>
      <c r="F54" s="43">
        <v>558.104</v>
      </c>
      <c r="G54" s="43">
        <v>176.4899</v>
      </c>
      <c r="H54" s="43">
        <v>0</v>
      </c>
      <c r="I54" s="43">
        <v>99.3121</v>
      </c>
      <c r="J54" s="43">
        <v>244.0043</v>
      </c>
      <c r="K54" s="43">
        <v>121.38</v>
      </c>
      <c r="L54" s="43">
        <v>62.6102</v>
      </c>
      <c r="M54" s="43"/>
      <c r="N54" s="43"/>
      <c r="O54" s="43"/>
      <c r="P54" s="44">
        <f>SUM(C54:O54)</f>
        <v>3349.4063</v>
      </c>
    </row>
    <row r="55" spans="1:16" customHeight="1" ht="12.75">
      <c r="A55" s="18" t="s">
        <v>110</v>
      </c>
      <c r="B55" s="4" t="s">
        <v>111</v>
      </c>
      <c r="C55" s="43">
        <v>883.79081</v>
      </c>
      <c r="D55" s="43">
        <v>0</v>
      </c>
      <c r="E55" s="43">
        <v>364.36945</v>
      </c>
      <c r="F55" s="43">
        <v>109.77564</v>
      </c>
      <c r="G55" s="43">
        <v>172.72511</v>
      </c>
      <c r="H55" s="43">
        <v>0</v>
      </c>
      <c r="I55" s="43">
        <v>0</v>
      </c>
      <c r="J55" s="43">
        <v>55.81689</v>
      </c>
      <c r="K55" s="43">
        <v>65.58867</v>
      </c>
      <c r="L55" s="43">
        <v>0</v>
      </c>
      <c r="M55" s="43"/>
      <c r="N55" s="43"/>
      <c r="O55" s="43"/>
      <c r="P55" s="44">
        <f>SUM(C55:O55)</f>
        <v>1652.06657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2484.697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2484.697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540.7655</v>
      </c>
      <c r="D66" s="43">
        <v>8.64</v>
      </c>
      <c r="E66" s="43">
        <v>0</v>
      </c>
      <c r="F66" s="43">
        <v>3</v>
      </c>
      <c r="G66" s="43">
        <v>0</v>
      </c>
      <c r="H66" s="43">
        <v>0</v>
      </c>
      <c r="I66" s="43">
        <v>0</v>
      </c>
      <c r="J66" s="43">
        <v>75.9</v>
      </c>
      <c r="K66" s="43">
        <v>0</v>
      </c>
      <c r="L66" s="43">
        <v>0</v>
      </c>
      <c r="M66" s="43"/>
      <c r="N66" s="43"/>
      <c r="O66" s="43"/>
      <c r="P66" s="44">
        <f>SUM(C66:O66)</f>
        <v>628.3055</v>
      </c>
    </row>
    <row r="67" spans="1:16" customHeight="1" ht="12.75">
      <c r="A67" s="18" t="s">
        <v>134</v>
      </c>
      <c r="B67" s="4" t="s">
        <v>135</v>
      </c>
      <c r="C67" s="43">
        <v>808.711</v>
      </c>
      <c r="D67" s="43">
        <v>22.89</v>
      </c>
      <c r="E67" s="43">
        <v>-197.584</v>
      </c>
      <c r="F67" s="43">
        <v>58.8</v>
      </c>
      <c r="G67" s="43">
        <v>-138.4</v>
      </c>
      <c r="H67" s="43">
        <v>0</v>
      </c>
      <c r="I67" s="43">
        <v>0</v>
      </c>
      <c r="J67" s="43">
        <v>0</v>
      </c>
      <c r="K67" s="43">
        <v>0</v>
      </c>
      <c r="L67" s="43">
        <v>56.1</v>
      </c>
      <c r="M67" s="43"/>
      <c r="N67" s="43"/>
      <c r="O67" s="43"/>
      <c r="P67" s="44">
        <f>SUM(C67:O67)</f>
        <v>610.517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433.114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433.114</v>
      </c>
    </row>
    <row r="74" spans="1:16" customHeight="1" ht="12.75">
      <c r="A74" s="18" t="s">
        <v>147</v>
      </c>
      <c r="B74" s="4" t="s">
        <v>148</v>
      </c>
      <c r="C74" s="43">
        <v>455.90676</v>
      </c>
      <c r="D74" s="43">
        <v>89.613</v>
      </c>
      <c r="E74" s="43">
        <v>86.1</v>
      </c>
      <c r="F74" s="43">
        <v>50.561</v>
      </c>
      <c r="G74" s="43">
        <v>49.344</v>
      </c>
      <c r="H74" s="43">
        <v>0</v>
      </c>
      <c r="I74" s="43">
        <v>10.9</v>
      </c>
      <c r="J74" s="43">
        <v>11.28</v>
      </c>
      <c r="K74" s="43">
        <v>20.78</v>
      </c>
      <c r="L74" s="43">
        <v>0</v>
      </c>
      <c r="M74" s="43"/>
      <c r="N74" s="43"/>
      <c r="O74" s="43"/>
      <c r="P74" s="44">
        <f>SUM(C74:O74)</f>
        <v>774.48476</v>
      </c>
    </row>
    <row r="75" spans="1:16" customHeight="1" ht="12.75">
      <c r="A75" s="18" t="s">
        <v>149</v>
      </c>
      <c r="B75" s="4" t="s">
        <v>150</v>
      </c>
      <c r="C75" s="43">
        <v>257.51165</v>
      </c>
      <c r="D75" s="43">
        <v>8.46585</v>
      </c>
      <c r="E75" s="43">
        <v>10.7352</v>
      </c>
      <c r="F75" s="43">
        <v>7.45065</v>
      </c>
      <c r="G75" s="43">
        <v>0</v>
      </c>
      <c r="H75" s="43">
        <v>0</v>
      </c>
      <c r="I75" s="43">
        <v>20.35214</v>
      </c>
      <c r="J75" s="43">
        <v>23.34849</v>
      </c>
      <c r="K75" s="43">
        <v>13.1017</v>
      </c>
      <c r="L75" s="43">
        <v>1.59337</v>
      </c>
      <c r="M75" s="43"/>
      <c r="N75" s="43"/>
      <c r="O75" s="43"/>
      <c r="P75" s="44">
        <f>SUM(C75:O75)</f>
        <v>342.55905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0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0</v>
      </c>
    </row>
    <row r="84" spans="1:16" customHeight="1" ht="12.75">
      <c r="A84" s="18" t="s">
        <v>166</v>
      </c>
      <c r="B84" s="4" t="s">
        <v>167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0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-558.104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-558.104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29362.81682</v>
      </c>
      <c r="D107" s="47">
        <f>SUM(D38:D106)</f>
        <v>1645.02089</v>
      </c>
      <c r="E107" s="47">
        <f>SUM(E38:E106)</f>
        <v>1826.34361</v>
      </c>
      <c r="F107" s="47">
        <f>SUM(F38:F106)</f>
        <v>1638.2849</v>
      </c>
      <c r="G107" s="47">
        <f>SUM(G38:G106)</f>
        <v>1532.73201</v>
      </c>
      <c r="H107" s="47">
        <f>SUM(H38:H106)</f>
        <v>-42.21315</v>
      </c>
      <c r="I107" s="47">
        <f>SUM(I38:I106)</f>
        <v>590.72144</v>
      </c>
      <c r="J107" s="47">
        <f>SUM(J38:J106)</f>
        <v>1029.8638</v>
      </c>
      <c r="K107" s="47">
        <f>SUM(K38:K106)</f>
        <v>804.9573</v>
      </c>
      <c r="L107" s="47">
        <f>SUM(L38:L106)</f>
        <v>645.1614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39033.68902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3497.79153</v>
      </c>
      <c r="D109" s="49">
        <f>D36-D107</f>
        <v>354.97911</v>
      </c>
      <c r="E109" s="49">
        <f>E36-E107</f>
        <v>-258.93565</v>
      </c>
      <c r="F109" s="49">
        <f>F36-F107</f>
        <v>-638.2849</v>
      </c>
      <c r="G109" s="49">
        <f>G36-G107</f>
        <v>467.26799</v>
      </c>
      <c r="H109" s="49">
        <f>H36-H107</f>
        <v>42.21315</v>
      </c>
      <c r="I109" s="49">
        <f>I36-I107</f>
        <v>-590.72144</v>
      </c>
      <c r="J109" s="49">
        <f>J36-J107</f>
        <v>-425.8638</v>
      </c>
      <c r="K109" s="49">
        <f>K36-K107</f>
        <v>195.0427</v>
      </c>
      <c r="L109" s="49">
        <f>L36-L107</f>
        <v>-245.1614</v>
      </c>
      <c r="M109" s="49"/>
      <c r="N109" s="49"/>
      <c r="O109" s="49"/>
      <c r="P109" s="50">
        <f>P36-P107</f>
        <v>2398.32729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-738.21077869</v>
      </c>
      <c r="D118" s="45">
        <f>(D109-SUM(D111:D116)-D125-D126+D127)*-0.05/12</f>
        <v>-14.771513200792</v>
      </c>
      <c r="E118" s="45">
        <f>(E109-SUM(E111:E116)-E125-E126+E127)*-0.05/12</f>
        <v>-13.558236635795</v>
      </c>
      <c r="F118" s="45">
        <f>(F109-SUM(F111:F116)-F125-F126+F127)*-0.05/12</f>
        <v>-10.830208871777</v>
      </c>
      <c r="G118" s="45">
        <f>(G109-SUM(G111:G116)-G125-G126+G127)*-0.05/12</f>
        <v>-12.32228470041</v>
      </c>
      <c r="H118" s="45">
        <f>(H109-SUM(H111:H116)-H125-H126+H127)*-0.05/12</f>
        <v>-12.549515678328</v>
      </c>
      <c r="I118" s="45">
        <f>(I109-SUM(I111:I116)-I125-I126+I127)*-0.05/12</f>
        <v>-10.140465993655</v>
      </c>
      <c r="J118" s="45">
        <f>(J109-SUM(J111:J116)-J125-J126+J127)*-0.05/12</f>
        <v>-8.2572854352948</v>
      </c>
      <c r="K118" s="45">
        <f>(K109-SUM(K111:K116)-K125-K126+K127)*-0.05/12</f>
        <v>-8.8543687079419</v>
      </c>
      <c r="L118" s="45">
        <f>(L109-SUM(L111:L116)-L125-L126+L127)*-0.05/12</f>
        <v>-7.7697560775583</v>
      </c>
      <c r="M118" s="45"/>
      <c r="N118" s="45"/>
      <c r="O118" s="45"/>
      <c r="P118" s="46">
        <f>SUM(C118:O118)</f>
        <v>-837.26441399155</v>
      </c>
    </row>
    <row r="119" spans="1:16" customHeight="1" ht="12.75">
      <c r="A119" s="20">
        <v>4.3</v>
      </c>
      <c r="B119" s="15" t="s">
        <v>210</v>
      </c>
      <c r="C119" s="47">
        <f>SUM(C111:C118)</f>
        <v>-738.21077869</v>
      </c>
      <c r="D119" s="47">
        <f>SUM(D111:D118)</f>
        <v>-14.771513200792</v>
      </c>
      <c r="E119" s="47">
        <f>SUM(E111:E118)</f>
        <v>-13.558236635795</v>
      </c>
      <c r="F119" s="47">
        <f>SUM(F111:F118)</f>
        <v>-10.830208871777</v>
      </c>
      <c r="G119" s="47">
        <f>SUM(G111:G118)</f>
        <v>-12.32228470041</v>
      </c>
      <c r="H119" s="47">
        <f>SUM(H111:H118)</f>
        <v>-12.549515678328</v>
      </c>
      <c r="I119" s="47">
        <f>SUM(I111:I118)</f>
        <v>-10.140465993655</v>
      </c>
      <c r="J119" s="47">
        <f>SUM(J111:J118)</f>
        <v>-8.2572854352948</v>
      </c>
      <c r="K119" s="47">
        <f>SUM(K111:K118)</f>
        <v>-8.8543687079419</v>
      </c>
      <c r="L119" s="47">
        <f>SUM(L111:L118)</f>
        <v>-7.7697560775583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-837.26441399155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4236.00230869</v>
      </c>
      <c r="D121" s="49">
        <f>D109-D119</f>
        <v>369.75062320079</v>
      </c>
      <c r="E121" s="49">
        <f>E109-E119</f>
        <v>-245.3774133642</v>
      </c>
      <c r="F121" s="49">
        <f>F109-F119</f>
        <v>-627.45469112822</v>
      </c>
      <c r="G121" s="49">
        <f>G109-G119</f>
        <v>479.59027470041</v>
      </c>
      <c r="H121" s="49">
        <f>H109-H119</f>
        <v>54.762665678328</v>
      </c>
      <c r="I121" s="49">
        <f>I109-I119</f>
        <v>-580.58097400635</v>
      </c>
      <c r="J121" s="49">
        <f>J109-J119</f>
        <v>-417.60651456471</v>
      </c>
      <c r="K121" s="49">
        <f>K109-K119</f>
        <v>203.89706870794</v>
      </c>
      <c r="L121" s="49">
        <f>L109-L119</f>
        <v>-237.39164392244</v>
      </c>
      <c r="M121" s="49"/>
      <c r="N121" s="49"/>
      <c r="O121" s="49"/>
      <c r="P121" s="50">
        <f>P109-P119</f>
        <v>3235.5917039915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985.8182505</v>
      </c>
      <c r="D125" s="43">
        <f>(D36-D18-D20-D33)*D124</f>
        <v>60</v>
      </c>
      <c r="E125" s="43">
        <f>(E36-E18-E20-E33)*E124</f>
        <v>47.0222388</v>
      </c>
      <c r="F125" s="43">
        <f>(F36-F18-F20-F33)*F124</f>
        <v>30</v>
      </c>
      <c r="G125" s="43">
        <f>(G36-G18-G20-G33)*G124</f>
        <v>120</v>
      </c>
      <c r="H125" s="43">
        <f>(H36-H18-H20-H33)*H124</f>
        <v>0</v>
      </c>
      <c r="I125" s="43">
        <f>(I36-I18-I20-I33)*I124</f>
        <v>0</v>
      </c>
      <c r="J125" s="43">
        <f>(J36-J18-J20-J33)*J124</f>
        <v>36.24</v>
      </c>
      <c r="K125" s="43">
        <f>(K36-K18-K20-K33)*K124</f>
        <v>60</v>
      </c>
      <c r="L125" s="43">
        <f>(L36-L18-L20-L33)*L124</f>
        <v>24</v>
      </c>
      <c r="M125" s="43"/>
      <c r="N125" s="43"/>
      <c r="O125" s="43"/>
      <c r="P125" s="44">
        <f>SUM(C125:O125)</f>
        <v>1363.0804893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3250.18405819</v>
      </c>
      <c r="E127" s="43">
        <f>D129</f>
        <v>3559.9346813908</v>
      </c>
      <c r="F127" s="43">
        <f>E129</f>
        <v>3267.5350292266</v>
      </c>
      <c r="G127" s="43">
        <f>F129</f>
        <v>2610.0803380984</v>
      </c>
      <c r="H127" s="43">
        <f>G129</f>
        <v>2969.6706127988</v>
      </c>
      <c r="I127" s="43">
        <f>H129</f>
        <v>3024.4332784771</v>
      </c>
      <c r="J127" s="43">
        <f>I129</f>
        <v>2443.8523044708</v>
      </c>
      <c r="K127" s="43">
        <f>J129</f>
        <v>1990.0057899061</v>
      </c>
      <c r="L127" s="43">
        <f>K129</f>
        <v>2133.902858614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3250.18405819</v>
      </c>
      <c r="D129" s="51">
        <f>D121-SUM(D125:D126)+IF(ISBLANK(D127), 0, D127)</f>
        <v>3559.9346813908</v>
      </c>
      <c r="E129" s="51">
        <f>E121-SUM(E125:E126)+IF(ISBLANK(E127), 0, E127)</f>
        <v>3267.5350292266</v>
      </c>
      <c r="F129" s="51">
        <f>F121-SUM(F125:F126)+IF(ISBLANK(F127), 0, F127)</f>
        <v>2610.0803380984</v>
      </c>
      <c r="G129" s="51">
        <f>G121-SUM(G125:G126)+IF(ISBLANK(G127), 0, G127)</f>
        <v>2969.6706127988</v>
      </c>
      <c r="H129" s="51">
        <f>H121-SUM(H125:H126)+IF(ISBLANK(H127), 0, H127)</f>
        <v>3024.4332784771</v>
      </c>
      <c r="I129" s="51">
        <f>I121-SUM(I125:I126)+IF(ISBLANK(I127), 0, I127)</f>
        <v>2443.8523044708</v>
      </c>
      <c r="J129" s="51">
        <f>J121-SUM(J125:J126)+IF(ISBLANK(J127), 0, J127)</f>
        <v>1990.0057899061</v>
      </c>
      <c r="K129" s="51">
        <f>K121-SUM(K125:K126)+IF(ISBLANK(K127), 0, K127)</f>
        <v>2133.902858614</v>
      </c>
      <c r="L129" s="51">
        <f>L121-SUM(L125:L126)+IF(ISBLANK(L127), 0, L127)</f>
        <v>1872.5112146916</v>
      </c>
      <c r="M129" s="51"/>
      <c r="N129" s="51"/>
      <c r="O129" s="51"/>
      <c r="P129" s="52">
        <f>P121-SUM(P125:P126)+IF(ISBLANK(P127), 0, P127)</f>
        <v>1872.5112146915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